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2dca90b9984812e/Desktop/"/>
    </mc:Choice>
  </mc:AlternateContent>
  <xr:revisionPtr revIDLastSave="622" documentId="13_ncr:20001_{89743AE5-B585-4CF2-A8BE-B8048078D193}" xr6:coauthVersionLast="47" xr6:coauthVersionMax="47" xr10:uidLastSave="{1A945C77-D5A6-4F55-895E-F87AC2FE65AA}"/>
  <bookViews>
    <workbookView xWindow="-120" yWindow="-120" windowWidth="20730" windowHeight="11040" firstSheet="6" activeTab="10" xr2:uid="{00000000-000D-0000-FFFF-FFFF00000000}"/>
  </bookViews>
  <sheets>
    <sheet name="Raw_Data" sheetId="1" r:id="rId1"/>
    <sheet name="Cleaned_Data" sheetId="2" r:id="rId2"/>
    <sheet name="pivot category_sales" sheetId="8" r:id="rId3"/>
    <sheet name="Pivot City_wise_order" sheetId="18" r:id="rId4"/>
    <sheet name="Pivot payment_analysis" sheetId="19" r:id="rId5"/>
    <sheet name="Pivot Delivery_Analysis" sheetId="23" r:id="rId6"/>
    <sheet name="Pivot_Order_Status" sheetId="24" r:id="rId7"/>
    <sheet name="Pivot_Reasons" sheetId="25" r:id="rId8"/>
    <sheet name="pivot monthly revenue" sheetId="7" r:id="rId9"/>
    <sheet name="Analysis" sheetId="3" r:id="rId10"/>
    <sheet name="Dashboard" sheetId="5" r:id="rId11"/>
  </sheets>
  <definedNames>
    <definedName name="_xlnm._FilterDatabase" localSheetId="0" hidden="1">Raw_Data!$A$1:$S$201</definedName>
    <definedName name="Slicer_Category">#N/A</definedName>
    <definedName name="Slicer_Order_Month">#N/A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B11" i="3"/>
  <c r="B10" i="3"/>
  <c r="B9" i="3"/>
  <c r="B8" i="3"/>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U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 i="2"/>
  <c r="B6" i="3"/>
  <c r="B5" i="3"/>
  <c r="B4" i="3"/>
  <c r="B3" i="3"/>
  <c r="B2" i="3"/>
</calcChain>
</file>

<file path=xl/sharedStrings.xml><?xml version="1.0" encoding="utf-8"?>
<sst xmlns="http://schemas.openxmlformats.org/spreadsheetml/2006/main" count="4572" uniqueCount="373">
  <si>
    <t>Order_ID</t>
  </si>
  <si>
    <t>Order_Date</t>
  </si>
  <si>
    <t>Customer_ID</t>
  </si>
  <si>
    <t>Customer_Name</t>
  </si>
  <si>
    <t>City</t>
  </si>
  <si>
    <t>Product_ID</t>
  </si>
  <si>
    <t>Product_Name</t>
  </si>
  <si>
    <t>Category</t>
  </si>
  <si>
    <t>Quantity</t>
  </si>
  <si>
    <t>Unit_Price</t>
  </si>
  <si>
    <t>Total_Amount</t>
  </si>
  <si>
    <t>Payment_Method</t>
  </si>
  <si>
    <t>Payment_Status</t>
  </si>
  <si>
    <t>Order_Status</t>
  </si>
  <si>
    <t>Expected_Delivery_Date</t>
  </si>
  <si>
    <t>Actual_Delivery_Date</t>
  </si>
  <si>
    <t>Delivery_Partner</t>
  </si>
  <si>
    <t>Return_Reason</t>
  </si>
  <si>
    <t>Cancellation_Reason</t>
  </si>
  <si>
    <t>ORD001</t>
  </si>
  <si>
    <t>C007</t>
  </si>
  <si>
    <t>Suresh</t>
  </si>
  <si>
    <t>Tenkasi</t>
  </si>
  <si>
    <t>P018</t>
  </si>
  <si>
    <t>Office File</t>
  </si>
  <si>
    <t>Stationery</t>
  </si>
  <si>
    <t>Debit Card</t>
  </si>
  <si>
    <t>Pending</t>
  </si>
  <si>
    <t>Delivered</t>
  </si>
  <si>
    <t>Ecom Express</t>
  </si>
  <si>
    <t>ORD002</t>
  </si>
  <si>
    <t>C017</t>
  </si>
  <si>
    <t>Vijay</t>
  </si>
  <si>
    <t>Erode</t>
  </si>
  <si>
    <t>P015</t>
  </si>
  <si>
    <t>Cookware Set</t>
  </si>
  <si>
    <t>Home &amp; Kitchen</t>
  </si>
  <si>
    <t>Failed</t>
  </si>
  <si>
    <t>Cancelled</t>
  </si>
  <si>
    <t>BlueDart</t>
  </si>
  <si>
    <t>Delivery delay</t>
  </si>
  <si>
    <t>ORD003</t>
  </si>
  <si>
    <t>C018</t>
  </si>
  <si>
    <t>Harini</t>
  </si>
  <si>
    <t>Coimbatore</t>
  </si>
  <si>
    <t>P008</t>
  </si>
  <si>
    <t>Laptop Stand</t>
  </si>
  <si>
    <t>Electronics</t>
  </si>
  <si>
    <t>UPI</t>
  </si>
  <si>
    <t>Delhivery</t>
  </si>
  <si>
    <t>ORD004</t>
  </si>
  <si>
    <t>C003</t>
  </si>
  <si>
    <t>Rahul</t>
  </si>
  <si>
    <t>P002</t>
  </si>
  <si>
    <t>Keyboard</t>
  </si>
  <si>
    <t>Paid</t>
  </si>
  <si>
    <t>Returned</t>
  </si>
  <si>
    <t>Wrong product</t>
  </si>
  <si>
    <t>ORD005</t>
  </si>
  <si>
    <t>P005</t>
  </si>
  <si>
    <t>USB Cable</t>
  </si>
  <si>
    <t>Credit Card</t>
  </si>
  <si>
    <t>ORD006</t>
  </si>
  <si>
    <t>C004</t>
  </si>
  <si>
    <t>Divya</t>
  </si>
  <si>
    <t>P014</t>
  </si>
  <si>
    <t>Water Bottle</t>
  </si>
  <si>
    <t>Shipped</t>
  </si>
  <si>
    <t>ORD007</t>
  </si>
  <si>
    <t>C002</t>
  </si>
  <si>
    <t>Priya</t>
  </si>
  <si>
    <t>Madurai</t>
  </si>
  <si>
    <t>P013</t>
  </si>
  <si>
    <t>Bedsheet</t>
  </si>
  <si>
    <t>Net Banking</t>
  </si>
  <si>
    <t>ORD008</t>
  </si>
  <si>
    <t>C005</t>
  </si>
  <si>
    <t>Karthik</t>
  </si>
  <si>
    <t>chennai</t>
  </si>
  <si>
    <t>Cash on Delivery</t>
  </si>
  <si>
    <t>ORD009</t>
  </si>
  <si>
    <t>ORD010</t>
  </si>
  <si>
    <t>ORD011</t>
  </si>
  <si>
    <t>C010</t>
  </si>
  <si>
    <t>Asha</t>
  </si>
  <si>
    <t>ORD012</t>
  </si>
  <si>
    <t>C019</t>
  </si>
  <si>
    <t>Prakash</t>
  </si>
  <si>
    <t>Salem</t>
  </si>
  <si>
    <t>Placed</t>
  </si>
  <si>
    <t>ORD013</t>
  </si>
  <si>
    <t>P017</t>
  </si>
  <si>
    <t>Notebook</t>
  </si>
  <si>
    <t>ORD014</t>
  </si>
  <si>
    <t>C020</t>
  </si>
  <si>
    <t>Fathima</t>
  </si>
  <si>
    <t>Tirunelveli</t>
  </si>
  <si>
    <t>P003</t>
  </si>
  <si>
    <t>Bluetooth Speaker</t>
  </si>
  <si>
    <t>ORD015</t>
  </si>
  <si>
    <t>Confirmed</t>
  </si>
  <si>
    <t>DTDC</t>
  </si>
  <si>
    <t>ORD016</t>
  </si>
  <si>
    <t>C009</t>
  </si>
  <si>
    <t>Vignesh</t>
  </si>
  <si>
    <t>Chennai</t>
  </si>
  <si>
    <t>P007</t>
  </si>
  <si>
    <t>Smart Watch</t>
  </si>
  <si>
    <t>ORD017</t>
  </si>
  <si>
    <t>C015</t>
  </si>
  <si>
    <t>Santhosh</t>
  </si>
  <si>
    <t>P011</t>
  </si>
  <si>
    <t>Backpack</t>
  </si>
  <si>
    <t>Fashion</t>
  </si>
  <si>
    <t>ORD018</t>
  </si>
  <si>
    <t>ORD019</t>
  </si>
  <si>
    <t>P006</t>
  </si>
  <si>
    <t>Power Bank</t>
  </si>
  <si>
    <t>ORD020</t>
  </si>
  <si>
    <t>P010</t>
  </si>
  <si>
    <t>Jeans</t>
  </si>
  <si>
    <t>ORD021</t>
  </si>
  <si>
    <t>ORD022</t>
  </si>
  <si>
    <t>delivered</t>
  </si>
  <si>
    <t>ORD023</t>
  </si>
  <si>
    <t>C011</t>
  </si>
  <si>
    <t>Manoj</t>
  </si>
  <si>
    <t>ORD024</t>
  </si>
  <si>
    <t>ORD025</t>
  </si>
  <si>
    <t>C014</t>
  </si>
  <si>
    <t>Lavanya</t>
  </si>
  <si>
    <t>Payment issue</t>
  </si>
  <si>
    <t>ORD026</t>
  </si>
  <si>
    <t>P012</t>
  </si>
  <si>
    <t>Sports Shoes</t>
  </si>
  <si>
    <t>ORD027</t>
  </si>
  <si>
    <t>P001</t>
  </si>
  <si>
    <t>Wireless Mouse</t>
  </si>
  <si>
    <t>ORD028</t>
  </si>
  <si>
    <t>C006</t>
  </si>
  <si>
    <t>Meena</t>
  </si>
  <si>
    <t>P004</t>
  </si>
  <si>
    <t>Headphones</t>
  </si>
  <si>
    <t>ORD029</t>
  </si>
  <si>
    <t>ORD030</t>
  </si>
  <si>
    <t>Product not as expected</t>
  </si>
  <si>
    <t>ORD031</t>
  </si>
  <si>
    <t>P019</t>
  </si>
  <si>
    <t>Desk Organizer</t>
  </si>
  <si>
    <t>ORD032</t>
  </si>
  <si>
    <t>P020</t>
  </si>
  <si>
    <t>Calculator</t>
  </si>
  <si>
    <t>ORD033</t>
  </si>
  <si>
    <t>ORD034</t>
  </si>
  <si>
    <t>ORD035</t>
  </si>
  <si>
    <t>Out for Delivery</t>
  </si>
  <si>
    <t>ORD036</t>
  </si>
  <si>
    <t>C013</t>
  </si>
  <si>
    <t>Dinesh</t>
  </si>
  <si>
    <t>ORD037</t>
  </si>
  <si>
    <t>ORD038</t>
  </si>
  <si>
    <t>ORD039</t>
  </si>
  <si>
    <t>ORD040</t>
  </si>
  <si>
    <t>ORD041</t>
  </si>
  <si>
    <t>ORD042</t>
  </si>
  <si>
    <t>ORD043</t>
  </si>
  <si>
    <t>ORD044</t>
  </si>
  <si>
    <t>ORD045</t>
  </si>
  <si>
    <t>upi</t>
  </si>
  <si>
    <t>ORD046</t>
  </si>
  <si>
    <t>ORD047</t>
  </si>
  <si>
    <t>ORD048</t>
  </si>
  <si>
    <t>ORD049</t>
  </si>
  <si>
    <t>ORD050</t>
  </si>
  <si>
    <t>ORD051</t>
  </si>
  <si>
    <t>ORD052</t>
  </si>
  <si>
    <t>ORD053</t>
  </si>
  <si>
    <t>P009</t>
  </si>
  <si>
    <t>T-Shirt</t>
  </si>
  <si>
    <t>ORD054</t>
  </si>
  <si>
    <t>C008</t>
  </si>
  <si>
    <t>Nisha</t>
  </si>
  <si>
    <t>ORD055</t>
  </si>
  <si>
    <t>ORD056</t>
  </si>
  <si>
    <t>C012</t>
  </si>
  <si>
    <t>Keerthana</t>
  </si>
  <si>
    <t>ORD057</t>
  </si>
  <si>
    <t>ORD058</t>
  </si>
  <si>
    <t>ORD059</t>
  </si>
  <si>
    <t>ORD060</t>
  </si>
  <si>
    <t>ORD061</t>
  </si>
  <si>
    <t>ORD062</t>
  </si>
  <si>
    <t>ORD063</t>
  </si>
  <si>
    <t>ORD064</t>
  </si>
  <si>
    <t>Product unavailable</t>
  </si>
  <si>
    <t>ORD065</t>
  </si>
  <si>
    <t>C016</t>
  </si>
  <si>
    <t>Pavithra</t>
  </si>
  <si>
    <t>ORD066</t>
  </si>
  <si>
    <t>ORD067</t>
  </si>
  <si>
    <t>ORD068</t>
  </si>
  <si>
    <t>ORD069</t>
  </si>
  <si>
    <t>ORD070</t>
  </si>
  <si>
    <t>Refunded</t>
  </si>
  <si>
    <t>Customer changed mind</t>
  </si>
  <si>
    <t>ORD071</t>
  </si>
  <si>
    <t>C001</t>
  </si>
  <si>
    <t>Arun Kumar</t>
  </si>
  <si>
    <t>ORD072</t>
  </si>
  <si>
    <t>ORD073</t>
  </si>
  <si>
    <t>ORD074</t>
  </si>
  <si>
    <t xml:space="preserve"> Madurai</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</si>
  <si>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</si>
  <si>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</si>
  <si>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</si>
  <si>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</si>
  <si>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</si>
  <si>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</si>
  <si>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</si>
  <si>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</si>
  <si>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</si>
  <si>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</si>
  <si>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</si>
  <si>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</si>
  <si>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</si>
  <si>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</si>
  <si>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</si>
  <si>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</si>
  <si>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</si>
  <si>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</si>
  <si>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</si>
  <si>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</si>
  <si>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</si>
  <si>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P016</t>
  </si>
  <si>
    <t>Storage Box</t>
  </si>
  <si>
    <t>ORD096</t>
  </si>
  <si>
    <t>ORD097</t>
  </si>
  <si>
    <t>ORD098</t>
  </si>
  <si>
    <t>ORD099</t>
  </si>
  <si>
    <t>ORD100</t>
  </si>
  <si>
    <t>ORD101</t>
  </si>
  <si>
    <t>ORD102</t>
  </si>
  <si>
    <t>ORD103</t>
  </si>
  <si>
    <t>ORD104</t>
  </si>
  <si>
    <t>ORD105</t>
  </si>
  <si>
    <t>ORD106</t>
  </si>
  <si>
    <t>ORD107</t>
  </si>
  <si>
    <t>ORD108</t>
  </si>
  <si>
    <t>ORD109</t>
  </si>
  <si>
    <t>Damaged product</t>
  </si>
  <si>
    <t>ORD110</t>
  </si>
  <si>
    <t>ORD111</t>
  </si>
  <si>
    <t>ORD112</t>
  </si>
  <si>
    <t>ORD113</t>
  </si>
  <si>
    <t>ORD114</t>
  </si>
  <si>
    <t>ORD115</t>
  </si>
  <si>
    <t>ORD116</t>
  </si>
  <si>
    <t>ORD117</t>
  </si>
  <si>
    <t>ORD118</t>
  </si>
  <si>
    <t>ORD119</t>
  </si>
  <si>
    <t xml:space="preserve">Shipped </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</si>
  <si>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</si>
  <si>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</si>
  <si>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</si>
  <si>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</si>
  <si>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</si>
  <si>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</si>
  <si>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</si>
  <si>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</si>
  <si>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</si>
  <si>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</si>
  <si>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</si>
  <si>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</si>
  <si>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</si>
  <si>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</si>
  <si>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</si>
  <si>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</si>
  <si>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</si>
  <si>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</si>
  <si>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</si>
  <si>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Duplicate order</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</si>
  <si>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</si>
  <si>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</si>
  <si>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</si>
  <si>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</si>
  <si>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</si>
  <si>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</si>
  <si>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</si>
  <si>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</si>
  <si>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</si>
  <si>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</si>
  <si>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</si>
  <si>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</si>
  <si>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</si>
  <si>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</si>
  <si>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</si>
  <si>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</si>
  <si>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</si>
  <si>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</si>
  <si>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</si>
  <si>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paid</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</si>
  <si>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</si>
  <si>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</si>
  <si>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</si>
  <si>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</si>
  <si>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</si>
  <si>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</si>
  <si>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</si>
  <si>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</si>
  <si>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</si>
  <si>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</si>
  <si>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</si>
  <si>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</si>
  <si>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</si>
  <si>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</si>
  <si>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</si>
  <si>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</si>
  <si>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</si>
  <si>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</si>
  <si>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</si>
  <si>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</si>
  <si>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</si>
  <si>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Size issue</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</si>
  <si>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</si>
  <si>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</si>
  <si>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</si>
  <si>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</si>
  <si>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</si>
  <si>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</si>
  <si>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</si>
  <si>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</si>
  <si>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</si>
  <si>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</si>
  <si>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</si>
  <si>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</si>
  <si>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</si>
  <si>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</si>
  <si>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</si>
  <si>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</si>
  <si>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</si>
  <si>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</si>
  <si>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</si>
  <si>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</si>
  <si>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</si>
  <si>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</si>
  <si>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Metric</t>
  </si>
  <si>
    <t>Value</t>
  </si>
  <si>
    <t>Total Orders</t>
  </si>
  <si>
    <t>Total Revenue</t>
  </si>
  <si>
    <t>Delivered Orders</t>
  </si>
  <si>
    <t>Cancelled Orders</t>
  </si>
  <si>
    <t>Returned Orders</t>
  </si>
  <si>
    <t>Average Delay (Days)</t>
  </si>
  <si>
    <t>Trichy</t>
  </si>
  <si>
    <t>Delivery_Delay_Days</t>
  </si>
  <si>
    <t>Row Labels</t>
  </si>
  <si>
    <t>Grand Total</t>
  </si>
  <si>
    <t>Sum of Total_Amount</t>
  </si>
  <si>
    <t>Count of Order_ID</t>
  </si>
  <si>
    <t>Delivery_Performance</t>
  </si>
  <si>
    <t>Order Month</t>
  </si>
  <si>
    <t>Delayed</t>
  </si>
  <si>
    <t>Not Delivered</t>
  </si>
  <si>
    <t>On Time</t>
  </si>
  <si>
    <t>Slightly Delayed</t>
  </si>
  <si>
    <t>SALES &amp; DELIVERY ANALYTICS DASHBOARD</t>
  </si>
  <si>
    <t>July</t>
  </si>
  <si>
    <t>August</t>
  </si>
  <si>
    <t>September</t>
  </si>
  <si>
    <t>Cancellation Rate</t>
  </si>
  <si>
    <t>Returned Rate</t>
  </si>
  <si>
    <t>On-Time Delivery</t>
  </si>
  <si>
    <t>Delivered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</si>
</sst>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b/>
      <sz val="11"/>
      <name val="Calibri"/>
    </font>
    <font>
      <b/>
      <sz val="26"/>
      <name val="Calibri"/>
      <family val="2"/>
    </font>
    <font>
      <sz val="22"/>
      <color theme="1"/>
      <name val="Calibri"/>
      <family val="2"/>
      <scheme val="minor"/>
    </font>
    <font>
      <sz val="8"/>
      <name val="Calibri"/>
      <family val="2"/>
      <scheme val="minor"/>
    </font>
    <font>
      <b/>
      <sz val="11"/>
      <name val="Calibri"/>
      <family val="2"/>
    </font>
    <font>
      <sz val="11"/>
      <color theme="1"/>
      <name val="Calibri"/>
      <family val="2"/>
      <scheme val="minor"/>
    </font>
    <font>
      <b/>
      <sz val="26"/>
      <color theme="7"/>
      <name val="Times New Roman"/>
      <family val="1"/>
    </font>
  </fonts>
  <fills count="7">
    <fill>
      <patternFill patternType="none"/>
    </fill>
    <fill>
      <patternFill patternType="gray125"/>
    </fill>
    <fill>
      <patternFill patternType="solid">
        <fgColor theme="6"/>
        <bgColor indexed="64"/>
      </patternFill>
    </fill>
    <fill>
      <patternFill patternType="solid">
        <fgColor theme="9"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theme="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6" fillId="0" borderId="0" applyFont="0" applyFill="0" applyBorder="0" applyAlignment="0" applyProtection="0"/>
  </cellStyleXfs>
  <cellXfs count="20">
    <xf numFmtId="0" fontId="0" fillId="0" borderId="0" xfId="0"/>
    <xf numFmtId="0" fontId="1" fillId="0" borderId="1" xfId="0" applyFont="1" applyBorder="1" applyAlignment="1">
      <alignment horizontal="center"/>
    </xf>
    <xf numFmtId="164" fontId="0" fillId="0" borderId="0" xfId="0" applyNumberFormat="1"/>
    <xf numFmtId="14" fontId="1" fillId="0" borderId="1" xfId="0" applyNumberFormat="1" applyFont="1" applyBorder="1" applyAlignment="1">
      <alignment horizontal="center"/>
    </xf>
    <xf numFmtId="14" fontId="0" fillId="0" borderId="0" xfId="0" applyNumberFormat="1"/>
    <xf numFmtId="0" fontId="2" fillId="2" borderId="1" xfId="0" applyFont="1" applyFill="1" applyBorder="1" applyAlignment="1">
      <alignment horizontal="center" vertical="top"/>
    </xf>
    <xf numFmtId="0" fontId="3" fillId="0" borderId="0" xfId="0" applyFont="1"/>
    <xf numFmtId="0" fontId="0" fillId="0" borderId="0" xfId="0" pivotButton="1"/>
    <xf numFmtId="0" fontId="0" fillId="0" borderId="0" xfId="0" applyAlignment="1">
      <alignment horizontal="left"/>
    </xf>
    <xf numFmtId="0" fontId="5" fillId="0" borderId="1" xfId="0" applyFont="1" applyBorder="1" applyAlignment="1">
      <alignment horizontal="center"/>
    </xf>
    <xf numFmtId="0" fontId="0" fillId="3" borderId="0" xfId="0" applyFill="1"/>
    <xf numFmtId="0" fontId="1" fillId="3" borderId="2" xfId="0" applyFont="1" applyFill="1" applyBorder="1" applyAlignment="1">
      <alignment horizontal="center"/>
    </xf>
    <xf numFmtId="0" fontId="1" fillId="4" borderId="2" xfId="0" applyFont="1" applyFill="1" applyBorder="1" applyAlignment="1">
      <alignment horizontal="center"/>
    </xf>
    <xf numFmtId="0" fontId="0" fillId="4" borderId="0" xfId="0" applyFill="1"/>
    <xf numFmtId="0" fontId="1" fillId="5" borderId="2" xfId="0" applyFont="1" applyFill="1" applyBorder="1" applyAlignment="1">
      <alignment horizontal="center"/>
    </xf>
    <xf numFmtId="0" fontId="0" fillId="5" borderId="0" xfId="0" applyFill="1"/>
    <xf numFmtId="9" fontId="3" fillId="0" borderId="0" xfId="1" applyFont="1"/>
    <xf numFmtId="2" fontId="3" fillId="0" borderId="0" xfId="1" applyNumberFormat="1" applyFont="1"/>
    <xf numFmtId="0" fontId="7" fillId="6" borderId="0" xfId="0" applyFont="1" applyFill="1" applyAlignment="1">
      <alignment horizontal="center" vertical="top"/>
    </xf>
    <xf numFmtId="0" fontId="1" fillId="6" borderId="0" xfId="0" applyFont="1" applyFill="1" applyAlignment="1">
      <alignment horizontal="center" vertical="top"/>
    </xf>
  </cellXfs>
  <cellStyles count="2">
    <cellStyle name="Normal" xfId="0" builtinId="0"/>
    <cellStyle name="Percent" xfId="1" builtinId="5"/>
  </cellStyles>
  <dxfs count="5">
    <dxf>
      <fill>
        <patternFill patternType="solid">
          <fgColor indexed="64"/>
          <bgColor theme="7" tint="0.59999389629810485"/>
        </patternFill>
      </fill>
    </dxf>
    <dxf>
      <numFmt numFmtId="164" formatCode="dd\-mm\-yyyy"/>
    </dxf>
    <dxf>
      <numFmt numFmtId="19" formatCode="dd/mm/yyyy"/>
    </dxf>
    <dxf>
      <numFmt numFmtId="19" formatCode="dd/mm/yyyy"/>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[E_Commerce_Order_Status_Project.xlsx]pivot monthly revenue!PivotTable1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Revenue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monthly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monthly revenue'!$A$4:$A$7</c:f>
              <c:strCache>
                <c:ptCount val="3"/>
                <c:pt idx="0">
                  <c:v>July</c:v>
                </c:pt>
                <c:pt idx="1">
                  <c:v>August</c:v>
                </c:pt>
                <c:pt idx="2">
                  <c:v>September</c:v>
                </c:pt>
              </c:strCache>
            </c:strRef>
          </c:cat>
          <c:val>
            <c:numRef>
              <c:f>'pivot monthly revenue'!$B$4:$B$7</c:f>
              <c:numCache>
                <c:formatCode>General</c:formatCode>
                <c:ptCount val="3"/>
                <c:pt idx="0">
                  <c:v>196730</c:v>
                </c:pt>
                <c:pt idx="1">
                  <c:v>166000</c:v>
                </c:pt>
                <c:pt idx="2">
                  <c:v>246990</c:v>
                </c:pt>
              </c:numCache>
            </c:numRef>
          </c:val>
          <c:extLst>
            <c:ext xmlns:c16="http://schemas.microsoft.com/office/drawing/2014/chart" uri="{C3380CC4-5D6E-409C-BE32-E72D297353CC}">
              <c16:uniqueId val="{00000000-A08D-4269-9038-12A1B2A3FF97}"/>
            </c:ext>
          </c:extLst>
        </c:ser>
        <c:dLbls>
          <c:showLegendKey val="0"/>
          <c:showVal val="0"/>
          <c:showCatName val="0"/>
          <c:showSerName val="0"/>
          <c:showPercent val="0"/>
          <c:showBubbleSize val="0"/>
        </c:dLbls>
        <c:gapWidth val="100"/>
        <c:overlap val="-24"/>
        <c:axId val="1935618767"/>
        <c:axId val="1963795151"/>
      </c:barChart>
      <c:catAx>
        <c:axId val="1935618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3795151"/>
        <c:crosses val="autoZero"/>
        <c:auto val="1"/>
        <c:lblAlgn val="ctr"/>
        <c:lblOffset val="100"/>
        <c:noMultiLvlLbl val="0"/>
      </c:catAx>
      <c:valAx>
        <c:axId val="1963795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561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[E_Commerce_Order_Status_Project.xlsx]pivot category_sales!PivotTable2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category_sales'!$B$3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category_sales'!$A$4:$A$8</c:f>
              <c:strCache>
                <c:ptCount val="4"/>
                <c:pt idx="0">
                  <c:v>Electronics</c:v>
                </c:pt>
                <c:pt idx="1">
                  <c:v>Fashion</c:v>
                </c:pt>
                <c:pt idx="2">
                  <c:v>Home &amp; Kitchen</c:v>
                </c:pt>
                <c:pt idx="3">
                  <c:v>Stationery</c:v>
                </c:pt>
              </c:strCache>
            </c:strRef>
          </c:cat>
          <c:val>
            <c:numRef>
              <c:f>'pivot category_sales'!$B$4:$B$8</c:f>
              <c:numCache>
                <c:formatCode>General</c:formatCode>
                <c:ptCount val="4"/>
                <c:pt idx="0">
                  <c:v>254750</c:v>
                </c:pt>
                <c:pt idx="1">
                  <c:v>178550</c:v>
                </c:pt>
                <c:pt idx="2">
                  <c:v>150450</c:v>
                </c:pt>
                <c:pt idx="3">
                  <c:v>25970</c:v>
                </c:pt>
              </c:numCache>
            </c:numRef>
          </c:val>
          <c:extLst>
            <c:ext xmlns:c16="http://schemas.microsoft.com/office/drawing/2014/chart" uri="{C3380CC4-5D6E-409C-BE32-E72D297353CC}">
              <c16:uniqueId val="{00000000-DD24-4105-BD08-3ADF6E96A50D}"/>
            </c:ext>
          </c:extLst>
        </c:ser>
        <c:dLbls>
          <c:dLblPos val="inEnd"/>
          <c:showLegendKey val="0"/>
          <c:showVal val="1"/>
          <c:showCatName val="0"/>
          <c:showSerName val="0"/>
          <c:showPercent val="0"/>
          <c:showBubbleSize val="0"/>
        </c:dLbls>
        <c:gapWidth val="65"/>
        <c:axId val="1936350159"/>
        <c:axId val="1545443247"/>
      </c:barChart>
      <c:catAx>
        <c:axId val="19363501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443247"/>
        <c:crosses val="autoZero"/>
        <c:auto val="1"/>
        <c:lblAlgn val="ctr"/>
        <c:lblOffset val="100"/>
        <c:noMultiLvlLbl val="0"/>
      </c:catAx>
      <c:valAx>
        <c:axId val="15454432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36350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[E_Commerce_Order_Status_Project.xlsx]Pivot payment_analysis!PivotTable5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latin typeface="Times New Roman" panose="02020603050405020304" pitchFamily="18" charset="0"/>
                <a:cs typeface="Times New Roman" panose="02020603050405020304" pitchFamily="18" charset="0"/>
              </a:rPr>
              <a:t>Orders By Payment Method</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5"/>
          </a:solidFill>
          <a:ln w="19050">
            <a:solidFill>
              <a:schemeClr val="lt1"/>
            </a:solidFill>
          </a:ln>
          <a:effectLst/>
        </c:spPr>
      </c:pivotFmt>
    </c:pivotFmts>
    <c:plotArea>
      <c:layout/>
      <c:pieChart>
        <c:varyColors val="1"/>
        <c:ser>
          <c:idx val="0"/>
          <c:order val="0"/>
          <c:tx>
            <c:strRef>
              <c:f>'Pivot payment_analysis'!$B$3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D49B-4D47-BA75-4DA2A60540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D49B-4D47-BA75-4DA2A60540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D49B-4D47-BA75-4DA2A60540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D49B-4D47-BA75-4DA2A60540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D49B-4D47-BA75-4DA2A605403E}"/>
              </c:ext>
            </c:extLst>
          </c:dPt>
          <c:cat>
            <c:strRef>
              <c:f>'Pivot payment_analysis'!$A$4:$A$9</c:f>
              <c:strCache>
                <c:ptCount val="5"/>
                <c:pt idx="0">
                  <c:v>Cash on Delivery</c:v>
                </c:pt>
                <c:pt idx="1">
                  <c:v>Credit Card</c:v>
                </c:pt>
                <c:pt idx="2">
                  <c:v>Debit Card</c:v>
                </c:pt>
                <c:pt idx="3">
                  <c:v>Net Banking</c:v>
                </c:pt>
                <c:pt idx="4">
                  <c:v>UPI</c:v>
                </c:pt>
              </c:strCache>
            </c:strRef>
          </c:cat>
          <c:val>
            <c:numRef>
              <c:f>'Pivot payment_analysis'!$B$4:$B$9</c:f>
              <c:numCache>
                <c:formatCode>General</c:formatCode>
                <c:ptCount val="5"/>
                <c:pt idx="0">
                  <c:v>46</c:v>
                </c:pt>
                <c:pt idx="1">
                  <c:v>35</c:v>
                </c:pt>
                <c:pt idx="2">
                  <c:v>49</c:v>
                </c:pt>
                <c:pt idx="3">
                  <c:v>32</c:v>
                </c:pt>
                <c:pt idx="4">
                  <c:v>38</c:v>
                </c:pt>
              </c:numCache>
            </c:numRef>
          </c:val>
          <c:extLst>
            <c:ext xmlns:c16="http://schemas.microsoft.com/office/drawing/2014/chart" uri="{C3380CC4-5D6E-409C-BE32-E72D297353CC}">
              <c16:uniqueId val="{00000016-D49B-4D47-BA75-4DA2A605403E}"/>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[E_Commerce_Order_Status_Project.xlsx]Pivot City_wise_order!PivotTable4</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City Wise Order</a:t>
            </a:r>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a:noFill/>
          </a:ln>
          <a:effectLst/>
        </c:spPr>
        <c:marker>
          <c:symbol val="none"/>
        </c:marker>
        <c:dLbl>
          <c:idx val="0"/>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City_wise_order'!$B$3</c:f>
              <c:strCache>
                <c:ptCount val="1"/>
                <c:pt idx="0">
                  <c:v>Total</c:v>
                </c:pt>
              </c:strCache>
            </c:strRef>
          </c:tx>
          <c:spPr>
            <a:pattFill prst="ltUpDiag">
              <a:fgClr>
                <a:schemeClr val="accent6"/>
              </a:fgClr>
              <a:bgClr>
                <a:schemeClr val="lt1"/>
              </a:bgClr>
            </a:pattFill>
            <a:ln>
              <a:noFill/>
            </a:ln>
            <a:effectLst/>
          </c:spPr>
          <c:invertIfNegative val="0"/>
          <c:dLbls>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City_wise_order'!$A$4:$A$12</c:f>
              <c:strCache>
                <c:ptCount val="8"/>
                <c:pt idx="0">
                  <c:v>Chennai</c:v>
                </c:pt>
                <c:pt idx="1">
                  <c:v>Coimbatore</c:v>
                </c:pt>
                <c:pt idx="2">
                  <c:v>Erode</c:v>
                </c:pt>
                <c:pt idx="3">
                  <c:v>Salem</c:v>
                </c:pt>
                <c:pt idx="4">
                  <c:v>Tenkasi</c:v>
                </c:pt>
                <c:pt idx="5">
                  <c:v>Tirunelveli</c:v>
                </c:pt>
                <c:pt idx="6">
                  <c:v>Trichy</c:v>
                </c:pt>
                <c:pt idx="7">
                  <c:v>Madurai</c:v>
                </c:pt>
              </c:strCache>
            </c:strRef>
          </c:cat>
          <c:val>
            <c:numRef>
              <c:f>'Pivot City_wise_order'!$B$4:$B$12</c:f>
              <c:numCache>
                <c:formatCode>General</c:formatCode>
                <c:ptCount val="8"/>
                <c:pt idx="0">
                  <c:v>29</c:v>
                </c:pt>
                <c:pt idx="1">
                  <c:v>31</c:v>
                </c:pt>
                <c:pt idx="2">
                  <c:v>16</c:v>
                </c:pt>
                <c:pt idx="3">
                  <c:v>28</c:v>
                </c:pt>
                <c:pt idx="4">
                  <c:v>20</c:v>
                </c:pt>
                <c:pt idx="5">
                  <c:v>30</c:v>
                </c:pt>
                <c:pt idx="6">
                  <c:v>15</c:v>
                </c:pt>
                <c:pt idx="7">
                  <c:v>31</c:v>
                </c:pt>
              </c:numCache>
            </c:numRef>
          </c:val>
          <c:extLst>
            <c:ext xmlns:c16="http://schemas.microsoft.com/office/drawing/2014/chart" uri="{C3380CC4-5D6E-409C-BE32-E72D297353CC}">
              <c16:uniqueId val="{00000000-CE58-439D-B44E-9A038E059D88}"/>
            </c:ext>
          </c:extLst>
        </c:ser>
        <c:dLbls>
          <c:dLblPos val="inEnd"/>
          <c:showLegendKey val="0"/>
          <c:showVal val="1"/>
          <c:showCatName val="0"/>
          <c:showSerName val="0"/>
          <c:showPercent val="0"/>
          <c:showBubbleSize val="0"/>
        </c:dLbls>
        <c:gapWidth val="269"/>
        <c:overlap val="-20"/>
        <c:axId val="42829040"/>
        <c:axId val="2091100911"/>
      </c:barChart>
      <c:catAx>
        <c:axId val="4282904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91100911"/>
        <c:crosses val="autoZero"/>
        <c:auto val="1"/>
        <c:lblAlgn val="ctr"/>
        <c:lblOffset val="100"/>
        <c:noMultiLvlLbl val="0"/>
      </c:catAx>
      <c:valAx>
        <c:axId val="209110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82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[E_Commerce_Order_Status_Project.xlsx]Pivot Delivery_Analysis!PivotTable9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latin typeface="Times New Roman" panose="02020603050405020304" pitchFamily="18" charset="0"/>
                <a:cs typeface="Times New Roman" panose="02020603050405020304" pitchFamily="18" charset="0"/>
              </a:rPr>
              <a:t>Delivery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Delivery_Analysis'!$B$3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2D-46C8-AE72-099A47D345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2D-46C8-AE72-099A47D345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2D-46C8-AE72-099A47D345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2D-46C8-AE72-099A47D345AA}"/>
              </c:ext>
            </c:extLst>
          </c:dPt>
          <c:cat>
            <c:strRef>
              <c:f>'Pivot Delivery_Analysis'!$A$4:$A$8</c:f>
              <c:strCache>
                <c:ptCount val="4"/>
                <c:pt idx="0">
                  <c:v>Delayed</c:v>
                </c:pt>
                <c:pt idx="1">
                  <c:v>Not Delivered</c:v>
                </c:pt>
                <c:pt idx="2">
                  <c:v>On Time</c:v>
                </c:pt>
                <c:pt idx="3">
                  <c:v>Slightly Delayed</c:v>
                </c:pt>
              </c:strCache>
            </c:strRef>
          </c:cat>
          <c:val>
            <c:numRef>
              <c:f>'Pivot Delivery_Analysis'!$B$4:$B$8</c:f>
              <c:numCache>
                <c:formatCode>General</c:formatCode>
                <c:ptCount val="4"/>
                <c:pt idx="0">
                  <c:v>13</c:v>
                </c:pt>
                <c:pt idx="1">
                  <c:v>72</c:v>
                </c:pt>
                <c:pt idx="2">
                  <c:v>58</c:v>
                </c:pt>
                <c:pt idx="3">
                  <c:v>57</c:v>
                </c:pt>
              </c:numCache>
            </c:numRef>
          </c:val>
          <c:extLst>
            <c:ext xmlns:c16="http://schemas.microsoft.com/office/drawing/2014/chart" uri="{C3380CC4-5D6E-409C-BE32-E72D297353CC}">
              <c16:uniqueId val="{00000008-892D-46C8-AE72-099A47D345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[E_Commerce_Order_Status_Project.xlsx]Pivot_Order_Status!PivotTable1</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Orders By Order</a:t>
            </a:r>
            <a:r>
              <a:rPr lang="en-US" baseline="0"/>
              <a:t> </a:t>
            </a:r>
            <a:r>
              <a:rPr lang="en-US"/>
              <a:t>Status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a:noFill/>
          </a:ln>
          <a:effectLst/>
        </c:spPr>
        <c:marker>
          <c:symbol val="none"/>
        </c:marker>
        <c:dLbl>
          <c:idx val="0"/>
          <c:spPr>
            <a:solidFill>
              <a:srgbClr val="9BBB5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9BBB5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Pivot_Order_Status!$B$3</c:f>
              <c:strCache>
                <c:ptCount val="1"/>
                <c:pt idx="0">
                  <c:v>Total</c:v>
                </c:pt>
              </c:strCache>
            </c:strRef>
          </c:tx>
          <c:spPr>
            <a:pattFill prst="ltUpDiag">
              <a:fgClr>
                <a:schemeClr val="accent3"/>
              </a:fgClr>
              <a:bgClr>
                <a:schemeClr val="lt1"/>
              </a:bgClr>
            </a:pattFill>
            <a:ln>
              <a:noFill/>
            </a:ln>
            <a:effectLst/>
          </c:spPr>
          <c:invertIfNegative val="0"/>
          <c:cat>
            <c:strRef>
              <c:f>Pivot_Order_Status!$A$4:$A$11</c:f>
              <c:strCache>
                <c:ptCount val="7"/>
                <c:pt idx="0">
                  <c:v>Cancelled</c:v>
                </c:pt>
                <c:pt idx="1">
                  <c:v>Confirmed</c:v>
                </c:pt>
                <c:pt idx="2">
                  <c:v>Delivered</c:v>
                </c:pt>
                <c:pt idx="3">
                  <c:v>Out for Delivery</c:v>
                </c:pt>
                <c:pt idx="4">
                  <c:v>Placed</c:v>
                </c:pt>
                <c:pt idx="5">
                  <c:v>Returned</c:v>
                </c:pt>
                <c:pt idx="6">
                  <c:v>Shipped</c:v>
                </c:pt>
              </c:strCache>
            </c:strRef>
          </c:cat>
          <c:val>
            <c:numRef>
              <c:f>Pivot_Order_Status!$B$4:$B$11</c:f>
              <c:numCache>
                <c:formatCode>General</c:formatCode>
                <c:ptCount val="7"/>
                <c:pt idx="0">
                  <c:v>15</c:v>
                </c:pt>
                <c:pt idx="1">
                  <c:v>10</c:v>
                </c:pt>
                <c:pt idx="2">
                  <c:v>115</c:v>
                </c:pt>
                <c:pt idx="3">
                  <c:v>15</c:v>
                </c:pt>
                <c:pt idx="4">
                  <c:v>8</c:v>
                </c:pt>
                <c:pt idx="5">
                  <c:v>12</c:v>
                </c:pt>
                <c:pt idx="6">
                  <c:v>25</c:v>
                </c:pt>
              </c:numCache>
            </c:numRef>
          </c:val>
          <c:extLst>
            <c:ext xmlns:c16="http://schemas.microsoft.com/office/drawing/2014/chart" uri="{C3380CC4-5D6E-409C-BE32-E72D297353CC}">
              <c16:uniqueId val="{00000000-5B05-4E1B-B8C0-7C6348AE3683}"/>
            </c:ext>
          </c:extLst>
        </c:ser>
        <c:dLbls>
          <c:showLegendKey val="0"/>
          <c:showVal val="0"/>
          <c:showCatName val="0"/>
          <c:showSerName val="0"/>
          <c:showPercent val="0"/>
          <c:showBubbleSize val="0"/>
        </c:dLbls>
        <c:gapWidth val="269"/>
        <c:overlap val="-20"/>
        <c:axId val="249281344"/>
        <c:axId val="767644880"/>
      </c:barChart>
      <c:catAx>
        <c:axId val="249281344"/>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67644880"/>
        <c:crosses val="autoZero"/>
        <c:auto val="1"/>
        <c:lblAlgn val="ctr"/>
        <c:lblOffset val="100"/>
        <c:noMultiLvlLbl val="0"/>
      </c:catAx>
      <c:valAx>
        <c:axId val="76764488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4928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447674</xdr:colOff>
      <xdr:row>2</xdr:row>
      <xdr:rowOff>76200</xdr:rowOff>
    </xdr:from>
    <xdr:to>
      <xdr:col>5</xdr:col>
      <xdr:colOff>38099</xdr:colOff>
      <xdr:row>6</xdr:row>
      <xdr:rowOff>19050</xdr:rowOff>
    </xdr:to>
    <xdr:sp macro="" textlink="">
      <xdr:nvSpPr>
        <xdr:cNvPr id="10" name="Rectangle: Rounded Corners 9">
          <a:extLst>
            <a:ext uri="{FF2B5EF4-FFF2-40B4-BE49-F238E27FC236}">
              <a16:creationId xmlns:a16="http://schemas.microsoft.com/office/drawing/2014/main" id="{E0E63FE6-0F7F-6ECC-7032-98A35BDB9A0B}"/>
            </a:ext>
          </a:extLst>
        </xdr:cNvPr>
        <xdr:cNvSpPr/>
      </xdr:nvSpPr>
      <xdr:spPr>
        <a:xfrm>
          <a:off x="447674" y="457200"/>
          <a:ext cx="2638425"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Times New Roman" panose="02020603050405020304" pitchFamily="18" charset="0"/>
              <a:cs typeface="Times New Roman" panose="02020603050405020304" pitchFamily="18" charset="0"/>
            </a:rPr>
            <a:t>TOTAL</a:t>
          </a:r>
          <a:r>
            <a:rPr lang="en-IN" sz="1800" b="1" baseline="0">
              <a:latin typeface="Times New Roman" panose="02020603050405020304" pitchFamily="18" charset="0"/>
              <a:cs typeface="Times New Roman" panose="02020603050405020304" pitchFamily="18" charset="0"/>
            </a:rPr>
            <a:t> ORDERS</a:t>
          </a:r>
        </a:p>
        <a:p>
          <a:pPr algn="l"/>
          <a:r>
            <a:rPr lang="en-IN" sz="1800" b="1" baseline="0">
              <a:latin typeface="Times New Roman" panose="02020603050405020304" pitchFamily="18" charset="0"/>
              <a:cs typeface="Times New Roman" panose="02020603050405020304" pitchFamily="18" charset="0"/>
            </a:rPr>
            <a:t>200</a:t>
          </a:r>
        </a:p>
        <a:p>
          <a:pPr algn="l"/>
          <a:endParaRPr lang="en-IN" sz="1100"/>
        </a:p>
      </xdr:txBody>
    </xdr:sp>
    <xdr:clientData/>
  </xdr:twoCellAnchor>
  <xdr:twoCellAnchor>
    <xdr:from>
      <xdr:col>15</xdr:col>
      <xdr:colOff>38099</xdr:colOff>
      <xdr:row>2</xdr:row>
      <xdr:rowOff>66675</xdr:rowOff>
    </xdr:from>
    <xdr:to>
      <xdr:col>19</xdr:col>
      <xdr:colOff>523874</xdr:colOff>
      <xdr:row>6</xdr:row>
      <xdr:rowOff>9525</xdr:rowOff>
    </xdr:to>
    <xdr:sp macro="" textlink="">
      <xdr:nvSpPr>
        <xdr:cNvPr id="11" name="Rectangle: Rounded Corners 10">
          <a:extLst>
            <a:ext uri="{FF2B5EF4-FFF2-40B4-BE49-F238E27FC236}">
              <a16:creationId xmlns:a16="http://schemas.microsoft.com/office/drawing/2014/main" id="{7CC3117C-EE27-415B-A022-BF1DE8D89379}"/>
            </a:ext>
          </a:extLst>
        </xdr:cNvPr>
        <xdr:cNvSpPr/>
      </xdr:nvSpPr>
      <xdr:spPr>
        <a:xfrm>
          <a:off x="9182099" y="447675"/>
          <a:ext cx="2924175" cy="704850"/>
        </a:xfrm>
        <a:prstGeom prst="roundRect">
          <a:avLst>
            <a:gd name="adj" fmla="val 2072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Times New Roman" panose="02020603050405020304" pitchFamily="18" charset="0"/>
              <a:cs typeface="Times New Roman" panose="02020603050405020304" pitchFamily="18" charset="0"/>
            </a:rPr>
            <a:t>AVERAGE DELAY</a:t>
          </a:r>
        </a:p>
        <a:p>
          <a:pPr algn="l"/>
          <a:r>
            <a:rPr lang="en-IN" sz="1800" b="1">
              <a:latin typeface="Times New Roman" panose="02020603050405020304" pitchFamily="18" charset="0"/>
              <a:cs typeface="Times New Roman" panose="02020603050405020304" pitchFamily="18" charset="0"/>
            </a:rPr>
            <a:t>0.7</a:t>
          </a:r>
        </a:p>
      </xdr:txBody>
    </xdr:sp>
    <xdr:clientData/>
  </xdr:twoCellAnchor>
  <xdr:twoCellAnchor>
    <xdr:from>
      <xdr:col>10</xdr:col>
      <xdr:colOff>114301</xdr:colOff>
      <xdr:row>2</xdr:row>
      <xdr:rowOff>76200</xdr:rowOff>
    </xdr:from>
    <xdr:to>
      <xdr:col>14</xdr:col>
      <xdr:colOff>476250</xdr:colOff>
      <xdr:row>6</xdr:row>
      <xdr:rowOff>19050</xdr:rowOff>
    </xdr:to>
    <xdr:sp macro="" textlink="">
      <xdr:nvSpPr>
        <xdr:cNvPr id="12" name="Rectangle: Rounded Corners 11">
          <a:extLst>
            <a:ext uri="{FF2B5EF4-FFF2-40B4-BE49-F238E27FC236}">
              <a16:creationId xmlns:a16="http://schemas.microsoft.com/office/drawing/2014/main" id="{6272ACAE-3C9C-46B3-966B-E72C45B90601}"/>
            </a:ext>
          </a:extLst>
        </xdr:cNvPr>
        <xdr:cNvSpPr/>
      </xdr:nvSpPr>
      <xdr:spPr>
        <a:xfrm>
          <a:off x="6210301" y="457200"/>
          <a:ext cx="2800349"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Times New Roman" panose="02020603050405020304" pitchFamily="18" charset="0"/>
              <a:cs typeface="Times New Roman" panose="02020603050405020304" pitchFamily="18" charset="0"/>
            </a:rPr>
            <a:t>DELIVERED ORDERS</a:t>
          </a:r>
        </a:p>
        <a:p>
          <a:pPr algn="l"/>
          <a:r>
            <a:rPr lang="en-IN" sz="1800" b="1">
              <a:latin typeface="Times New Roman" panose="02020603050405020304" pitchFamily="18" charset="0"/>
              <a:cs typeface="Times New Roman" panose="02020603050405020304" pitchFamily="18" charset="0"/>
            </a:rPr>
            <a:t>115</a:t>
          </a:r>
        </a:p>
      </xdr:txBody>
    </xdr:sp>
    <xdr:clientData/>
  </xdr:twoCellAnchor>
  <xdr:twoCellAnchor>
    <xdr:from>
      <xdr:col>5</xdr:col>
      <xdr:colOff>142875</xdr:colOff>
      <xdr:row>2</xdr:row>
      <xdr:rowOff>66675</xdr:rowOff>
    </xdr:from>
    <xdr:to>
      <xdr:col>9</xdr:col>
      <xdr:colOff>552450</xdr:colOff>
      <xdr:row>6</xdr:row>
      <xdr:rowOff>9525</xdr:rowOff>
    </xdr:to>
    <xdr:sp macro="" textlink="">
      <xdr:nvSpPr>
        <xdr:cNvPr id="13" name="Rectangle: Rounded Corners 12">
          <a:extLst>
            <a:ext uri="{FF2B5EF4-FFF2-40B4-BE49-F238E27FC236}">
              <a16:creationId xmlns:a16="http://schemas.microsoft.com/office/drawing/2014/main" id="{67FC545E-0075-4B18-9DD2-87F1A1671C8F}"/>
            </a:ext>
          </a:extLst>
        </xdr:cNvPr>
        <xdr:cNvSpPr/>
      </xdr:nvSpPr>
      <xdr:spPr>
        <a:xfrm>
          <a:off x="3190875" y="447675"/>
          <a:ext cx="2847975" cy="704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Times New Roman" panose="02020603050405020304" pitchFamily="18" charset="0"/>
              <a:cs typeface="Times New Roman" panose="02020603050405020304" pitchFamily="18" charset="0"/>
            </a:rPr>
            <a:t>TOTAL</a:t>
          </a:r>
          <a:r>
            <a:rPr lang="en-IN" sz="1800" b="1" baseline="0">
              <a:latin typeface="Times New Roman" panose="02020603050405020304" pitchFamily="18" charset="0"/>
              <a:cs typeface="Times New Roman" panose="02020603050405020304" pitchFamily="18" charset="0"/>
            </a:rPr>
            <a:t> REVENUE</a:t>
          </a:r>
        </a:p>
        <a:p>
          <a:pPr algn="l"/>
          <a:r>
            <a:rPr lang="en-IN" sz="1800" b="1" baseline="0">
              <a:latin typeface="Times New Roman" panose="02020603050405020304" pitchFamily="18" charset="0"/>
              <a:cs typeface="Times New Roman" panose="02020603050405020304" pitchFamily="18" charset="0"/>
            </a:rPr>
            <a:t>609,720</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0</xdr:col>
      <xdr:colOff>209549</xdr:colOff>
      <xdr:row>6</xdr:row>
      <xdr:rowOff>123825</xdr:rowOff>
    </xdr:from>
    <xdr:to>
      <xdr:col>8</xdr:col>
      <xdr:colOff>514350</xdr:colOff>
      <xdr:row>21</xdr:row>
      <xdr:rowOff>9525</xdr:rowOff>
    </xdr:to>
    <xdr:graphicFrame macro="">
      <xdr:nvGraphicFramePr>
        <xdr:cNvPr id="15" name="Chart 14">
          <a:extLst>
            <a:ext uri="{FF2B5EF4-FFF2-40B4-BE49-F238E27FC236}">
              <a16:creationId xmlns:a16="http://schemas.microsoft.com/office/drawing/2014/main" id="{C5F93ED4-E960-4FB1-A40C-F57E6B525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47626</xdr:colOff>
      <xdr:row>6</xdr:row>
      <xdr:rowOff>111048</xdr:rowOff>
    </xdr:from>
    <xdr:to>
      <xdr:col>16</xdr:col>
      <xdr:colOff>581026</xdr:colOff>
      <xdr:row>20</xdr:row>
      <xdr:rowOff>187248</xdr:rowOff>
    </xdr:to>
    <xdr:graphicFrame macro="">
      <xdr:nvGraphicFramePr>
        <xdr:cNvPr id="16" name="Chart 15">
          <a:extLst>
            <a:ext uri="{FF2B5EF4-FFF2-40B4-BE49-F238E27FC236}">
              <a16:creationId xmlns:a16="http://schemas.microsoft.com/office/drawing/2014/main" id="{2A1191C9-9E70-4281-9F56-5D8E15E79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161924</xdr:colOff>
      <xdr:row>21</xdr:row>
      <xdr:rowOff>38100</xdr:rowOff>
    </xdr:from>
    <xdr:to>
      <xdr:col>9</xdr:col>
      <xdr:colOff>457199</xdr:colOff>
      <xdr:row>35</xdr:row>
      <xdr:rowOff>114300</xdr:rowOff>
    </xdr:to>
    <xdr:graphicFrame macro="">
      <xdr:nvGraphicFramePr>
        <xdr:cNvPr id="17" name="Chart 16">
          <a:extLst>
            <a:ext uri="{FF2B5EF4-FFF2-40B4-BE49-F238E27FC236}">
              <a16:creationId xmlns:a16="http://schemas.microsoft.com/office/drawing/2014/main" id="{51127D17-CC78-4883-A617-456459D18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133350</xdr:colOff>
      <xdr:row>21</xdr:row>
      <xdr:rowOff>142875</xdr:rowOff>
    </xdr:from>
    <xdr:to>
      <xdr:col>19</xdr:col>
      <xdr:colOff>581025</xdr:colOff>
      <xdr:row>35</xdr:row>
      <xdr:rowOff>133350</xdr:rowOff>
    </xdr:to>
    <xdr:graphicFrame macro="">
      <xdr:nvGraphicFramePr>
        <xdr:cNvPr id="18" name="Chart 17">
          <a:extLst>
            <a:ext uri="{FF2B5EF4-FFF2-40B4-BE49-F238E27FC236}">
              <a16:creationId xmlns:a16="http://schemas.microsoft.com/office/drawing/2014/main" id="{19BCE58E-E959-4F64-9543-133A76DAC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180975</xdr:colOff>
      <xdr:row>36</xdr:row>
      <xdr:rowOff>28575</xdr:rowOff>
    </xdr:from>
    <xdr:to>
      <xdr:col>19</xdr:col>
      <xdr:colOff>419100</xdr:colOff>
      <xdr:row>50</xdr:row>
      <xdr:rowOff>104775</xdr:rowOff>
    </xdr:to>
    <xdr:graphicFrame macro="">
      <xdr:nvGraphicFramePr>
        <xdr:cNvPr id="19" name="Chart 18">
          <a:extLst>
            <a:ext uri="{FF2B5EF4-FFF2-40B4-BE49-F238E27FC236}">
              <a16:creationId xmlns:a16="http://schemas.microsoft.com/office/drawing/2014/main" id="{EDFD1494-BA26-4FA8-85F1-53ABF4594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36</xdr:row>
      <xdr:rowOff>0</xdr:rowOff>
    </xdr:from>
    <xdr:to>
      <xdr:col>9</xdr:col>
      <xdr:colOff>542924</xdr:colOff>
      <xdr:row>52</xdr:row>
      <xdr:rowOff>61911</xdr:rowOff>
    </xdr:to>
    <xdr:graphicFrame macro="">
      <xdr:nvGraphicFramePr>
        <xdr:cNvPr id="2" name="Chart 1">
          <a:extLst>
            <a:ext uri="{FF2B5EF4-FFF2-40B4-BE49-F238E27FC236}">
              <a16:creationId xmlns:a16="http://schemas.microsoft.com/office/drawing/2014/main" id="{245DD471-F37F-4F7E-B823-9BCC355AC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95250</xdr:colOff>
      <xdr:row>6</xdr:row>
      <xdr:rowOff>133350</xdr:rowOff>
    </xdr:from>
    <xdr:to>
      <xdr:col>20</xdr:col>
      <xdr:colOff>47625</xdr:colOff>
      <xdr:row>14</xdr:row>
      <xdr:rowOff>47625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4E625EA4-A8FA-4992-950D-0AAD9D0A2D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58450" y="1276350"/>
              <a:ext cx="1781175"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14</xdr:row>
      <xdr:rowOff>180976</xdr:rowOff>
    </xdr:from>
    <xdr:to>
      <xdr:col>19</xdr:col>
      <xdr:colOff>514350</xdr:colOff>
      <xdr:row>21</xdr:row>
      <xdr:rowOff>104776</xdr:rowOff>
    </xdr:to>
    <mc:AlternateContent xmlns:mc="http://schemas.openxmlformats.org/markup-compatibility/2006" xmlns:a14="http://schemas.microsoft.com/office/drawing/2010/main">
      <mc:Choice Requires="a14">
        <xdr:graphicFrame macro="">
          <xdr:nvGraphicFramePr>
            <xdr:cNvPr id="4" name="Order Month">
              <a:extLst>
                <a:ext uri="{FF2B5EF4-FFF2-40B4-BE49-F238E27FC236}">
                  <a16:creationId xmlns:a16="http://schemas.microsoft.com/office/drawing/2014/main" id="{8F3D6B82-7E1C-4E30-BD54-C7400E3AA665}"/>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0467975" y="2847976"/>
              <a:ext cx="1628775"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02.531005555553" createdVersion="8" refreshedVersion="8" minRefreshableVersion="3" recordCount="200" xr:uid="{53664950-72CD-4B69-A26B-E46B94467354}">
  <cacheSource type="worksheet">
    <worksheetSource name="Table1"/>
  </cacheSource>
  <cacheFields count="22">
    <cacheField name="Order_ID" numFmtId="0">
      <sharedItems/>
    </cacheField>
    <cacheField name="Order_Date" numFmtId="14">
      <sharedItems containsSemiMixedTypes="0" containsNonDate="0" containsDate="1" containsString="0" minDate="2026-07-01T00:00:00" maxDate="2026-10-01T00:00:00"/>
    </cacheField>
    <cacheField name="Customer_ID" numFmtId="0">
      <sharedItems/>
    </cacheField>
    <cacheField name="Customer_Name" numFmtId="0">
      <sharedItems/>
    </cacheField>
    <cacheField name="City" numFmtId="0">
      <sharedItems count="9">
        <s v="Tenkasi"/>
        <s v="Erode"/>
        <s v="Coimbatore"/>
        <s v="Trichy"/>
        <s v="Madurai"/>
        <s v="Chennai"/>
        <s v="Salem"/>
        <s v="Tirunelveli"/>
        <s v="Kanyakumari" u="1"/>
      </sharedItems>
    </cacheField>
    <cacheField name="Product_ID" numFmtId="0">
      <sharedItems/>
    </cacheField>
    <cacheField name="Product_Name" numFmtId="0">
      <sharedItems/>
    </cacheField>
    <cacheField name="Category" numFmtId="0">
      <sharedItems count="4">
        <s v="Stationery"/>
        <s v="Home &amp; Kitchen"/>
        <s v="Electronics"/>
        <s v="Fashion"/>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120" maxValue="3200"/>
    </cacheField>
    <cacheField name="Total_Amount" numFmtId="0">
      <sharedItems containsSemiMixedTypes="0" containsString="0" containsNumber="1" containsInteger="1" minValue="120" maxValue="12800"/>
    </cacheField>
    <cacheField name="Payment_Method" numFmtId="0">
      <sharedItems count="5">
        <s v="Debit Card"/>
        <s v="UPI"/>
        <s v="Credit Card"/>
        <s v="Net Banking"/>
        <s v="Cash on Delivery"/>
      </sharedItems>
    </cacheField>
    <cacheField name="Payment_Status" numFmtId="0">
      <sharedItems/>
    </cacheField>
    <cacheField name="Order_Status" numFmtId="0">
      <sharedItems count="7">
        <s v="Delivered"/>
        <s v="Cancelled"/>
        <s v="Returned"/>
        <s v="Shipped"/>
        <s v="Placed"/>
        <s v="Confirmed"/>
        <s v="Out for Delivery"/>
      </sharedItems>
    </cacheField>
    <cacheField name="Expected_Delivery_Date" numFmtId="14">
      <sharedItems containsSemiMixedTypes="0" containsNonDate="0" containsDate="1" containsString="0" minDate="2026-07-04T00:00:00" maxDate="2026-10-07T00:00:00"/>
    </cacheField>
    <cacheField name="Actual_Delivery_Date" numFmtId="164">
      <sharedItems containsNonDate="0" containsDate="1" containsString="0" containsBlank="1" minDate="2026-07-06T00:00:00" maxDate="2026-10-08T00:00:00"/>
    </cacheField>
    <cacheField name="Delivery_Partner" numFmtId="0">
      <sharedItems/>
    </cacheField>
    <cacheField name="Return_Reason" numFmtId="0">
      <sharedItems containsBlank="1" count="5">
        <m/>
        <s v="Wrong product"/>
        <s v="Product not as expected"/>
        <s v="Damaged product"/>
        <s v="Size issue"/>
      </sharedItems>
    </cacheField>
    <cacheField name="Cancellation_Reason" numFmtId="0">
      <sharedItems containsBlank="1" count="6">
        <m/>
        <s v="Delivery delay"/>
        <s v="Payment issue"/>
        <s v="Product unavailable"/>
        <s v="Customer changed mind"/>
        <s v="Duplicate order"/>
      </sharedItems>
    </cacheField>
    <cacheField name="Delivery_Delay_Days" numFmtId="0">
      <sharedItems containsMixedTypes="1" containsNumber="1" containsInteger="1" minValue="-1" maxValue="3"/>
    </cacheField>
    <cacheField name="Delivery_Performance" numFmtId="0">
      <sharedItems containsBlank="1" count="5">
        <s v="Slightly Delayed"/>
        <s v="Not Delivered"/>
        <s v="On Time"/>
        <s v="Delayed"/>
        <m u="1"/>
      </sharedItems>
    </cacheField>
    <cacheField name="Order Month" numFmtId="0">
      <sharedItems count="3">
        <s v="September"/>
        <s v="August"/>
        <s v="July"/>
      </sharedItems>
    </cacheField>
  </cacheFields>
  <extLst>
    <ext xmlns:x14="http://schemas.microsoft.com/office/spreadsheetml/2009/9/main" uri="{725AE2AE-9491-48be-B2B4-4EB974FC3084}">
      <x14:pivotCacheDefinition pivotCacheId="1221877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1"/>
    <d v="2026-09-30T00:00:00"/>
    <s v="C007"/>
    <s v="Suresh"/>
    <x v="0"/>
    <s v="P018"/>
    <s v="Office File"/>
    <x v="0"/>
    <n v="2"/>
    <n v="120"/>
    <n v="240"/>
    <x v="0"/>
    <s v="Pending"/>
    <x v="0"/>
    <d v="2026-10-05T00:00:00"/>
    <d v="2026-10-06T00:00:00"/>
    <s v="Ecom Express"/>
    <x v="0"/>
    <x v="0"/>
    <n v="1"/>
    <x v="0"/>
    <x v="0"/>
  </r>
  <r>
    <s v="ORD002"/>
    <d v="2026-08-01T00:00:00"/>
    <s v="C017"/>
    <s v="Vijay"/>
    <x v="1"/>
    <s v="P015"/>
    <s v="Cookware Set"/>
    <x v="1"/>
    <n v="1"/>
    <n v="3200"/>
    <n v="3200"/>
    <x v="0"/>
    <s v="Failed"/>
    <x v="1"/>
    <d v="2026-08-05T00:00:00"/>
    <m/>
    <s v="BlueDart"/>
    <x v="0"/>
    <x v="1"/>
    <s v=""/>
    <x v="1"/>
    <x v="1"/>
  </r>
  <r>
    <s v="ORD003"/>
    <d v="2026-07-01T00:00:00"/>
    <s v="C018"/>
    <s v="Harini"/>
    <x v="2"/>
    <s v="P008"/>
    <s v="Laptop Stand"/>
    <x v="2"/>
    <n v="2"/>
    <n v="1100"/>
    <n v="2200"/>
    <x v="1"/>
    <s v="Pending"/>
    <x v="0"/>
    <d v="2026-07-04T00:00:00"/>
    <d v="2026-07-06T00:00:00"/>
    <s v="Delhivery"/>
    <x v="0"/>
    <x v="0"/>
    <n v="2"/>
    <x v="0"/>
    <x v="2"/>
  </r>
  <r>
    <s v="ORD004"/>
    <d v="2026-07-10T00:00:00"/>
    <s v="C003"/>
    <s v="Rahul"/>
    <x v="2"/>
    <s v="P002"/>
    <s v="Keyboard"/>
    <x v="2"/>
    <n v="3"/>
    <n v="850"/>
    <n v="2550"/>
    <x v="0"/>
    <s v="Paid"/>
    <x v="2"/>
    <d v="2026-07-17T00:00:00"/>
    <d v="2026-07-17T00:00:00"/>
    <s v="Ecom Express"/>
    <x v="1"/>
    <x v="0"/>
    <n v="0"/>
    <x v="2"/>
    <x v="2"/>
  </r>
  <r>
    <s v="ORD005"/>
    <d v="2026-08-01T00:00:00"/>
    <s v="C018"/>
    <s v="Harini"/>
    <x v="2"/>
    <s v="P005"/>
    <s v="USB Cable"/>
    <x v="2"/>
    <n v="4"/>
    <n v="350"/>
    <n v="1400"/>
    <x v="2"/>
    <s v="Paid"/>
    <x v="0"/>
    <d v="2026-08-07T00:00:00"/>
    <d v="2026-08-10T00:00:00"/>
    <s v="BlueDart"/>
    <x v="0"/>
    <x v="0"/>
    <n v="3"/>
    <x v="3"/>
    <x v="1"/>
  </r>
  <r>
    <s v="ORD006"/>
    <d v="2026-08-24T00:00:00"/>
    <s v="C004"/>
    <s v="Divya"/>
    <x v="3"/>
    <s v="P014"/>
    <s v="Water Bottle"/>
    <x v="1"/>
    <n v="3"/>
    <n v="500"/>
    <n v="1500"/>
    <x v="1"/>
    <s v="Paid"/>
    <x v="3"/>
    <d v="2026-08-30T00:00:00"/>
    <m/>
    <s v="BlueDart"/>
    <x v="0"/>
    <x v="0"/>
    <s v=""/>
    <x v="1"/>
    <x v="1"/>
  </r>
  <r>
    <s v="ORD007"/>
    <d v="2026-07-14T00:00:00"/>
    <s v="C002"/>
    <s v="Priya"/>
    <x v="4"/>
    <s v="P013"/>
    <s v="Bedsheet"/>
    <x v="1"/>
    <n v="3"/>
    <n v="950"/>
    <n v="2850"/>
    <x v="3"/>
    <s v="Paid"/>
    <x v="0"/>
    <d v="2026-07-18T00:00:00"/>
    <d v="2026-07-18T00:00:00"/>
    <s v="Ecom Express"/>
    <x v="0"/>
    <x v="0"/>
    <n v="0"/>
    <x v="2"/>
    <x v="2"/>
  </r>
  <r>
    <s v="ORD008"/>
    <d v="2026-08-05T00:00:00"/>
    <s v="C005"/>
    <s v="Karthik"/>
    <x v="5"/>
    <s v="P014"/>
    <s v="Water Bottle"/>
    <x v="1"/>
    <n v="2"/>
    <n v="500"/>
    <n v="1000"/>
    <x v="4"/>
    <s v="Paid"/>
    <x v="0"/>
    <d v="2026-08-11T00:00:00"/>
    <d v="2026-08-11T00:00:00"/>
    <s v="BlueDart"/>
    <x v="0"/>
    <x v="0"/>
    <n v="0"/>
    <x v="2"/>
    <x v="1"/>
  </r>
  <r>
    <s v="ORD009"/>
    <d v="2026-07-12T00:00:00"/>
    <s v="C002"/>
    <s v="Priya"/>
    <x v="4"/>
    <s v="P018"/>
    <s v="Office File"/>
    <x v="0"/>
    <n v="1"/>
    <n v="120"/>
    <n v="120"/>
    <x v="4"/>
    <s v="Paid"/>
    <x v="0"/>
    <d v="2026-07-16T00:00:00"/>
    <d v="2026-07-16T00:00:00"/>
    <s v="Ecom Express"/>
    <x v="0"/>
    <x v="0"/>
    <n v="0"/>
    <x v="2"/>
    <x v="2"/>
  </r>
  <r>
    <s v="ORD010"/>
    <d v="2026-07-22T00:00:00"/>
    <s v="C007"/>
    <s v="Suresh"/>
    <x v="0"/>
    <s v="P013"/>
    <s v="Bedsheet"/>
    <x v="1"/>
    <n v="1"/>
    <n v="950"/>
    <n v="950"/>
    <x v="0"/>
    <s v="Paid"/>
    <x v="0"/>
    <d v="2026-07-28T00:00:00"/>
    <d v="2026-07-27T00:00:00"/>
    <s v="Ecom Express"/>
    <x v="0"/>
    <x v="0"/>
    <n v="-1"/>
    <x v="2"/>
    <x v="2"/>
  </r>
  <r>
    <s v="ORD011"/>
    <d v="2026-07-20T00:00:00"/>
    <s v="C010"/>
    <s v="Asha"/>
    <x v="4"/>
    <s v="P014"/>
    <s v="Water Bottle"/>
    <x v="1"/>
    <n v="4"/>
    <n v="500"/>
    <n v="2000"/>
    <x v="2"/>
    <s v="Paid"/>
    <x v="3"/>
    <d v="2026-07-24T00:00:00"/>
    <m/>
    <s v="BlueDart"/>
    <x v="0"/>
    <x v="0"/>
    <s v=""/>
    <x v="1"/>
    <x v="2"/>
  </r>
  <r>
    <s v="ORD012"/>
    <d v="2026-08-10T00:00:00"/>
    <s v="C019"/>
    <s v="Prakash"/>
    <x v="6"/>
    <s v="P018"/>
    <s v="Office File"/>
    <x v="0"/>
    <n v="1"/>
    <n v="120"/>
    <n v="120"/>
    <x v="3"/>
    <s v="Paid"/>
    <x v="4"/>
    <d v="2026-08-13T00:00:00"/>
    <m/>
    <s v="Ecom Express"/>
    <x v="0"/>
    <x v="0"/>
    <s v=""/>
    <x v="1"/>
    <x v="1"/>
  </r>
  <r>
    <s v="ORD013"/>
    <d v="2026-07-08T00:00:00"/>
    <s v="C017"/>
    <s v="Vijay"/>
    <x v="1"/>
    <s v="P017"/>
    <s v="Notebook"/>
    <x v="0"/>
    <n v="2"/>
    <n v="180"/>
    <n v="360"/>
    <x v="2"/>
    <s v="Paid"/>
    <x v="3"/>
    <d v="2026-07-15T00:00:00"/>
    <m/>
    <s v="BlueDart"/>
    <x v="0"/>
    <x v="0"/>
    <s v=""/>
    <x v="1"/>
    <x v="2"/>
  </r>
  <r>
    <s v="ORD014"/>
    <d v="2026-08-21T00:00:00"/>
    <s v="C020"/>
    <s v="Fathima"/>
    <x v="7"/>
    <s v="P003"/>
    <s v="Bluetooth Speaker"/>
    <x v="2"/>
    <n v="2"/>
    <n v="1450"/>
    <n v="2900"/>
    <x v="3"/>
    <s v="Paid"/>
    <x v="0"/>
    <d v="2026-08-24T00:00:00"/>
    <d v="2026-08-25T00:00:00"/>
    <s v="BlueDart"/>
    <x v="0"/>
    <x v="0"/>
    <n v="1"/>
    <x v="0"/>
    <x v="1"/>
  </r>
  <r>
    <s v="ORD015"/>
    <d v="2026-09-23T00:00:00"/>
    <s v="C020"/>
    <s v="Fathima"/>
    <x v="7"/>
    <s v="P003"/>
    <s v="Bluetooth Speaker"/>
    <x v="2"/>
    <n v="4"/>
    <n v="1450"/>
    <n v="5800"/>
    <x v="3"/>
    <s v="Pending"/>
    <x v="5"/>
    <d v="2026-09-30T00:00:00"/>
    <m/>
    <s v="DTDC"/>
    <x v="0"/>
    <x v="0"/>
    <s v=""/>
    <x v="1"/>
    <x v="0"/>
  </r>
  <r>
    <s v="ORD016"/>
    <d v="2026-07-31T00:00:00"/>
    <s v="C009"/>
    <s v="Vignesh"/>
    <x v="5"/>
    <s v="P007"/>
    <s v="Smart Watch"/>
    <x v="2"/>
    <n v="3"/>
    <n v="2500"/>
    <n v="7500"/>
    <x v="2"/>
    <s v="Paid"/>
    <x v="4"/>
    <d v="2026-08-05T00:00:00"/>
    <m/>
    <s v="DTDC"/>
    <x v="0"/>
    <x v="0"/>
    <s v=""/>
    <x v="1"/>
    <x v="2"/>
  </r>
  <r>
    <s v="ORD017"/>
    <d v="2026-07-02T00:00:00"/>
    <s v="C015"/>
    <s v="Santhosh"/>
    <x v="5"/>
    <s v="P011"/>
    <s v="Backpack"/>
    <x v="3"/>
    <n v="1"/>
    <n v="1250"/>
    <n v="1250"/>
    <x v="1"/>
    <s v="Pending"/>
    <x v="0"/>
    <d v="2026-07-08T00:00:00"/>
    <d v="2026-07-09T00:00:00"/>
    <s v="BlueDart"/>
    <x v="0"/>
    <x v="0"/>
    <n v="1"/>
    <x v="0"/>
    <x v="2"/>
  </r>
  <r>
    <s v="ORD018"/>
    <d v="2026-07-17T00:00:00"/>
    <s v="C018"/>
    <s v="Harini"/>
    <x v="2"/>
    <s v="P007"/>
    <s v="Smart Watch"/>
    <x v="2"/>
    <n v="3"/>
    <n v="2500"/>
    <n v="7500"/>
    <x v="2"/>
    <s v="Paid"/>
    <x v="3"/>
    <d v="2026-07-22T00:00:00"/>
    <m/>
    <s v="DTDC"/>
    <x v="0"/>
    <x v="0"/>
    <s v=""/>
    <x v="1"/>
    <x v="2"/>
  </r>
  <r>
    <s v="ORD019"/>
    <d v="2026-09-08T00:00:00"/>
    <s v="C010"/>
    <s v="Asha"/>
    <x v="4"/>
    <s v="P006"/>
    <s v="Power Bank"/>
    <x v="2"/>
    <n v="4"/>
    <n v="1200"/>
    <n v="4800"/>
    <x v="3"/>
    <s v="Pending"/>
    <x v="0"/>
    <d v="2026-09-13T00:00:00"/>
    <d v="2026-09-14T00:00:00"/>
    <s v="BlueDart"/>
    <x v="0"/>
    <x v="0"/>
    <n v="1"/>
    <x v="0"/>
    <x v="0"/>
  </r>
  <r>
    <s v="ORD020"/>
    <d v="2026-07-18T00:00:00"/>
    <s v="C018"/>
    <s v="Harini"/>
    <x v="2"/>
    <s v="P010"/>
    <s v="Jeans"/>
    <x v="3"/>
    <n v="1"/>
    <n v="1400"/>
    <n v="1400"/>
    <x v="3"/>
    <s v="Paid"/>
    <x v="0"/>
    <d v="2026-07-23T00:00:00"/>
    <d v="2026-07-22T00:00:00"/>
    <s v="Delhivery"/>
    <x v="0"/>
    <x v="0"/>
    <n v="-1"/>
    <x v="2"/>
    <x v="2"/>
  </r>
  <r>
    <s v="ORD021"/>
    <d v="2026-09-30T00:00:00"/>
    <s v="C009"/>
    <s v="Vignesh"/>
    <x v="5"/>
    <s v="P010"/>
    <s v="Jeans"/>
    <x v="3"/>
    <n v="2"/>
    <n v="1400"/>
    <n v="2800"/>
    <x v="0"/>
    <s v="Paid"/>
    <x v="5"/>
    <d v="2026-10-05T00:00:00"/>
    <m/>
    <s v="Ecom Express"/>
    <x v="0"/>
    <x v="0"/>
    <s v=""/>
    <x v="1"/>
    <x v="0"/>
  </r>
  <r>
    <s v="ORD022"/>
    <d v="2026-09-20T00:00:00"/>
    <s v="C009"/>
    <s v="Vignesh"/>
    <x v="5"/>
    <s v="P002"/>
    <s v="Keyboard"/>
    <x v="2"/>
    <n v="1"/>
    <n v="850"/>
    <n v="850"/>
    <x v="1"/>
    <s v="Paid"/>
    <x v="0"/>
    <d v="2026-09-26T00:00:00"/>
    <d v="2026-09-29T00:00:00"/>
    <s v="BlueDart"/>
    <x v="0"/>
    <x v="0"/>
    <n v="3"/>
    <x v="3"/>
    <x v="0"/>
  </r>
  <r>
    <s v="ORD023"/>
    <d v="2026-07-21T00:00:00"/>
    <s v="C011"/>
    <s v="Manoj"/>
    <x v="2"/>
    <s v="P005"/>
    <s v="USB Cable"/>
    <x v="2"/>
    <n v="3"/>
    <n v="350"/>
    <n v="1050"/>
    <x v="4"/>
    <s v="Pending"/>
    <x v="0"/>
    <d v="2026-07-27T00:00:00"/>
    <d v="2026-07-28T00:00:00"/>
    <s v="BlueDart"/>
    <x v="0"/>
    <x v="0"/>
    <n v="1"/>
    <x v="0"/>
    <x v="2"/>
  </r>
  <r>
    <s v="ORD024"/>
    <d v="2026-09-08T00:00:00"/>
    <s v="C004"/>
    <s v="Divya"/>
    <x v="3"/>
    <s v="P003"/>
    <s v="Bluetooth Speaker"/>
    <x v="2"/>
    <n v="2"/>
    <n v="1450"/>
    <n v="2900"/>
    <x v="3"/>
    <s v="Paid"/>
    <x v="3"/>
    <d v="2026-09-11T00:00:00"/>
    <m/>
    <s v="Delhivery"/>
    <x v="0"/>
    <x v="0"/>
    <s v=""/>
    <x v="1"/>
    <x v="0"/>
  </r>
  <r>
    <s v="ORD025"/>
    <d v="2026-08-09T00:00:00"/>
    <s v="C014"/>
    <s v="Lavanya"/>
    <x v="0"/>
    <s v="P005"/>
    <s v="USB Cable"/>
    <x v="2"/>
    <n v="1"/>
    <n v="350"/>
    <n v="350"/>
    <x v="0"/>
    <s v="Failed"/>
    <x v="1"/>
    <d v="2026-08-14T00:00:00"/>
    <m/>
    <s v="Delhivery"/>
    <x v="0"/>
    <x v="2"/>
    <s v=""/>
    <x v="1"/>
    <x v="1"/>
  </r>
  <r>
    <s v="ORD026"/>
    <d v="2026-09-18T00:00:00"/>
    <s v="C004"/>
    <s v="Divya"/>
    <x v="3"/>
    <s v="P012"/>
    <s v="Sports Shoes"/>
    <x v="3"/>
    <n v="4"/>
    <n v="2200"/>
    <n v="8800"/>
    <x v="2"/>
    <s v="Paid"/>
    <x v="5"/>
    <d v="2026-09-22T00:00:00"/>
    <m/>
    <s v="Delhivery"/>
    <x v="0"/>
    <x v="0"/>
    <s v=""/>
    <x v="1"/>
    <x v="0"/>
  </r>
  <r>
    <s v="ORD027"/>
    <d v="2026-08-12T00:00:00"/>
    <s v="C014"/>
    <s v="Lavanya"/>
    <x v="0"/>
    <s v="P001"/>
    <s v="Wireless Mouse"/>
    <x v="2"/>
    <n v="2"/>
    <n v="650"/>
    <n v="1300"/>
    <x v="2"/>
    <s v="Pending"/>
    <x v="0"/>
    <d v="2026-08-18T00:00:00"/>
    <d v="2026-08-21T00:00:00"/>
    <s v="DTDC"/>
    <x v="0"/>
    <x v="0"/>
    <n v="3"/>
    <x v="3"/>
    <x v="1"/>
  </r>
  <r>
    <s v="ORD028"/>
    <d v="2026-07-05T00:00:00"/>
    <s v="C006"/>
    <s v="Meena"/>
    <x v="7"/>
    <s v="P004"/>
    <s v="Headphones"/>
    <x v="2"/>
    <n v="4"/>
    <n v="1800"/>
    <n v="7200"/>
    <x v="4"/>
    <s v="Paid"/>
    <x v="0"/>
    <d v="2026-07-11T00:00:00"/>
    <d v="2026-07-11T00:00:00"/>
    <s v="DTDC"/>
    <x v="0"/>
    <x v="0"/>
    <n v="0"/>
    <x v="2"/>
    <x v="2"/>
  </r>
  <r>
    <s v="ORD029"/>
    <d v="2026-07-04T00:00:00"/>
    <s v="C010"/>
    <s v="Asha"/>
    <x v="4"/>
    <s v="P008"/>
    <s v="Laptop Stand"/>
    <x v="2"/>
    <n v="2"/>
    <n v="1100"/>
    <n v="2200"/>
    <x v="0"/>
    <s v="Paid"/>
    <x v="0"/>
    <d v="2026-07-08T00:00:00"/>
    <d v="2026-07-09T00:00:00"/>
    <s v="BlueDart"/>
    <x v="0"/>
    <x v="0"/>
    <n v="1"/>
    <x v="0"/>
    <x v="2"/>
  </r>
  <r>
    <s v="ORD030"/>
    <d v="2026-09-25T00:00:00"/>
    <s v="C009"/>
    <s v="Vignesh"/>
    <x v="5"/>
    <s v="P012"/>
    <s v="Sports Shoes"/>
    <x v="3"/>
    <n v="4"/>
    <n v="2200"/>
    <n v="8800"/>
    <x v="1"/>
    <s v="Paid"/>
    <x v="2"/>
    <d v="2026-10-02T00:00:00"/>
    <d v="2026-10-02T00:00:00"/>
    <s v="BlueDart"/>
    <x v="2"/>
    <x v="0"/>
    <n v="0"/>
    <x v="2"/>
    <x v="0"/>
  </r>
  <r>
    <s v="ORD031"/>
    <d v="2026-07-05T00:00:00"/>
    <s v="C006"/>
    <s v="Meena"/>
    <x v="7"/>
    <s v="P019"/>
    <s v="Desk Organizer"/>
    <x v="0"/>
    <n v="3"/>
    <n v="450"/>
    <n v="1350"/>
    <x v="0"/>
    <s v="Paid"/>
    <x v="0"/>
    <d v="2026-07-08T00:00:00"/>
    <d v="2026-07-09T00:00:00"/>
    <s v="DTDC"/>
    <x v="0"/>
    <x v="0"/>
    <n v="1"/>
    <x v="0"/>
    <x v="2"/>
  </r>
  <r>
    <s v="ORD032"/>
    <d v="2026-08-19T00:00:00"/>
    <s v="C014"/>
    <s v="Lavanya"/>
    <x v="0"/>
    <s v="P020"/>
    <s v="Calculator"/>
    <x v="0"/>
    <n v="1"/>
    <n v="550"/>
    <n v="550"/>
    <x v="0"/>
    <s v="Paid"/>
    <x v="3"/>
    <d v="2026-08-26T00:00:00"/>
    <m/>
    <s v="BlueDart"/>
    <x v="0"/>
    <x v="0"/>
    <s v=""/>
    <x v="1"/>
    <x v="1"/>
  </r>
  <r>
    <s v="ORD033"/>
    <d v="2026-08-16T00:00:00"/>
    <s v="C014"/>
    <s v="Lavanya"/>
    <x v="0"/>
    <s v="P001"/>
    <s v="Wireless Mouse"/>
    <x v="2"/>
    <n v="2"/>
    <n v="650"/>
    <n v="1300"/>
    <x v="0"/>
    <s v="Pending"/>
    <x v="0"/>
    <d v="2026-08-22T00:00:00"/>
    <d v="2026-08-21T00:00:00"/>
    <s v="DTDC"/>
    <x v="0"/>
    <x v="0"/>
    <n v="-1"/>
    <x v="2"/>
    <x v="1"/>
  </r>
  <r>
    <s v="ORD034"/>
    <d v="2026-09-24T00:00:00"/>
    <s v="C004"/>
    <s v="Divya"/>
    <x v="3"/>
    <s v="P010"/>
    <s v="Jeans"/>
    <x v="3"/>
    <n v="3"/>
    <n v="1400"/>
    <n v="4200"/>
    <x v="0"/>
    <s v="Paid"/>
    <x v="0"/>
    <d v="2026-09-30T00:00:00"/>
    <d v="2026-09-30T00:00:00"/>
    <s v="Delhivery"/>
    <x v="0"/>
    <x v="0"/>
    <n v="0"/>
    <x v="2"/>
    <x v="0"/>
  </r>
  <r>
    <s v="ORD035"/>
    <d v="2026-09-25T00:00:00"/>
    <s v="C007"/>
    <s v="Suresh"/>
    <x v="0"/>
    <s v="P014"/>
    <s v="Water Bottle"/>
    <x v="1"/>
    <n v="4"/>
    <n v="500"/>
    <n v="2000"/>
    <x v="3"/>
    <s v="Pending"/>
    <x v="6"/>
    <d v="2026-09-29T00:00:00"/>
    <m/>
    <s v="DTDC"/>
    <x v="0"/>
    <x v="0"/>
    <s v=""/>
    <x v="1"/>
    <x v="0"/>
  </r>
  <r>
    <s v="ORD036"/>
    <d v="2026-08-08T00:00:00"/>
    <s v="C013"/>
    <s v="Dinesh"/>
    <x v="7"/>
    <s v="P018"/>
    <s v="Office File"/>
    <x v="0"/>
    <n v="1"/>
    <n v="120"/>
    <n v="120"/>
    <x v="3"/>
    <s v="Paid"/>
    <x v="0"/>
    <d v="2026-08-13T00:00:00"/>
    <d v="2026-08-13T00:00:00"/>
    <s v="DTDC"/>
    <x v="0"/>
    <x v="0"/>
    <n v="0"/>
    <x v="2"/>
    <x v="1"/>
  </r>
  <r>
    <s v="ORD037"/>
    <d v="2026-09-25T00:00:00"/>
    <s v="C015"/>
    <s v="Santhosh"/>
    <x v="5"/>
    <s v="P015"/>
    <s v="Cookware Set"/>
    <x v="1"/>
    <n v="4"/>
    <n v="3200"/>
    <n v="12800"/>
    <x v="2"/>
    <s v="Paid"/>
    <x v="0"/>
    <d v="2026-09-29T00:00:00"/>
    <d v="2026-09-30T00:00:00"/>
    <s v="BlueDart"/>
    <x v="0"/>
    <x v="0"/>
    <n v="1"/>
    <x v="0"/>
    <x v="0"/>
  </r>
  <r>
    <s v="ORD038"/>
    <d v="2026-07-12T00:00:00"/>
    <s v="C010"/>
    <s v="Asha"/>
    <x v="4"/>
    <s v="P017"/>
    <s v="Notebook"/>
    <x v="0"/>
    <n v="3"/>
    <n v="180"/>
    <n v="540"/>
    <x v="0"/>
    <s v="Paid"/>
    <x v="2"/>
    <d v="2026-07-16T00:00:00"/>
    <d v="2026-07-18T00:00:00"/>
    <s v="Delhivery"/>
    <x v="1"/>
    <x v="0"/>
    <n v="2"/>
    <x v="0"/>
    <x v="2"/>
  </r>
  <r>
    <s v="ORD039"/>
    <d v="2026-08-01T00:00:00"/>
    <s v="C005"/>
    <s v="Karthik"/>
    <x v="6"/>
    <s v="P001"/>
    <s v="Wireless Mouse"/>
    <x v="2"/>
    <n v="1"/>
    <n v="650"/>
    <n v="650"/>
    <x v="4"/>
    <s v="Paid"/>
    <x v="0"/>
    <d v="2026-08-07T00:00:00"/>
    <d v="2026-08-08T00:00:00"/>
    <s v="Ecom Express"/>
    <x v="0"/>
    <x v="0"/>
    <n v="1"/>
    <x v="0"/>
    <x v="1"/>
  </r>
  <r>
    <s v="ORD040"/>
    <d v="2026-09-02T00:00:00"/>
    <s v="C019"/>
    <s v="Prakash"/>
    <x v="6"/>
    <s v="P007"/>
    <s v="Smart Watch"/>
    <x v="2"/>
    <n v="4"/>
    <n v="2500"/>
    <n v="10000"/>
    <x v="2"/>
    <s v="Paid"/>
    <x v="4"/>
    <d v="2026-09-08T00:00:00"/>
    <m/>
    <s v="BlueDart"/>
    <x v="0"/>
    <x v="0"/>
    <s v=""/>
    <x v="1"/>
    <x v="0"/>
  </r>
  <r>
    <s v="ORD041"/>
    <d v="2026-07-23T00:00:00"/>
    <s v="C004"/>
    <s v="Divya"/>
    <x v="3"/>
    <s v="P014"/>
    <s v="Water Bottle"/>
    <x v="1"/>
    <n v="2"/>
    <n v="500"/>
    <n v="1000"/>
    <x v="1"/>
    <s v="Paid"/>
    <x v="4"/>
    <d v="2026-07-30T00:00:00"/>
    <m/>
    <s v="Delhivery"/>
    <x v="0"/>
    <x v="0"/>
    <s v=""/>
    <x v="1"/>
    <x v="2"/>
  </r>
  <r>
    <s v="ORD042"/>
    <d v="2026-08-29T00:00:00"/>
    <s v="C004"/>
    <s v="Divya"/>
    <x v="3"/>
    <s v="P015"/>
    <s v="Cookware Set"/>
    <x v="1"/>
    <n v="2"/>
    <n v="3200"/>
    <n v="6400"/>
    <x v="0"/>
    <s v="Pending"/>
    <x v="0"/>
    <d v="2026-09-05T00:00:00"/>
    <d v="2026-09-06T00:00:00"/>
    <s v="Ecom Express"/>
    <x v="0"/>
    <x v="0"/>
    <n v="1"/>
    <x v="0"/>
    <x v="1"/>
  </r>
  <r>
    <s v="ORD043"/>
    <d v="2026-09-09T00:00:00"/>
    <s v="C020"/>
    <s v="Fathima"/>
    <x v="7"/>
    <s v="P017"/>
    <s v="Notebook"/>
    <x v="0"/>
    <n v="4"/>
    <n v="180"/>
    <n v="720"/>
    <x v="4"/>
    <s v="Pending"/>
    <x v="0"/>
    <d v="2026-09-15T00:00:00"/>
    <d v="2026-09-15T00:00:00"/>
    <s v="Ecom Express"/>
    <x v="0"/>
    <x v="0"/>
    <n v="0"/>
    <x v="2"/>
    <x v="0"/>
  </r>
  <r>
    <s v="ORD044"/>
    <d v="2026-09-05T00:00:00"/>
    <s v="C009"/>
    <s v="Vignesh"/>
    <x v="5"/>
    <s v="P008"/>
    <s v="Laptop Stand"/>
    <x v="2"/>
    <n v="3"/>
    <n v="1100"/>
    <n v="3300"/>
    <x v="2"/>
    <s v="Pending"/>
    <x v="6"/>
    <d v="2026-09-11T00:00:00"/>
    <m/>
    <s v="DTDC"/>
    <x v="0"/>
    <x v="0"/>
    <s v=""/>
    <x v="1"/>
    <x v="0"/>
  </r>
  <r>
    <s v="ORD045"/>
    <d v="2026-07-31T00:00:00"/>
    <s v="C015"/>
    <s v="Santhosh"/>
    <x v="5"/>
    <s v="P003"/>
    <s v="Bluetooth Speaker"/>
    <x v="2"/>
    <n v="3"/>
    <n v="1450"/>
    <n v="4350"/>
    <x v="1"/>
    <s v="Paid"/>
    <x v="5"/>
    <d v="2026-08-05T00:00:00"/>
    <m/>
    <s v="BlueDart"/>
    <x v="0"/>
    <x v="0"/>
    <s v=""/>
    <x v="1"/>
    <x v="2"/>
  </r>
  <r>
    <s v="ORD046"/>
    <d v="2026-08-19T00:00:00"/>
    <s v="C005"/>
    <s v="Karthik"/>
    <x v="6"/>
    <s v="P005"/>
    <s v="USB Cable"/>
    <x v="2"/>
    <n v="2"/>
    <n v="350"/>
    <n v="700"/>
    <x v="1"/>
    <s v="Paid"/>
    <x v="0"/>
    <d v="2026-08-23T00:00:00"/>
    <d v="2026-08-25T00:00:00"/>
    <s v="Ecom Express"/>
    <x v="0"/>
    <x v="0"/>
    <n v="2"/>
    <x v="0"/>
    <x v="1"/>
  </r>
  <r>
    <s v="ORD047"/>
    <d v="2026-08-23T00:00:00"/>
    <s v="C014"/>
    <s v="Lavanya"/>
    <x v="0"/>
    <s v="P011"/>
    <s v="Backpack"/>
    <x v="3"/>
    <n v="4"/>
    <n v="1250"/>
    <n v="5000"/>
    <x v="4"/>
    <s v="Paid"/>
    <x v="3"/>
    <d v="2026-08-26T00:00:00"/>
    <m/>
    <s v="Ecom Express"/>
    <x v="0"/>
    <x v="0"/>
    <s v=""/>
    <x v="1"/>
    <x v="1"/>
  </r>
  <r>
    <s v="ORD048"/>
    <d v="2026-08-31T00:00:00"/>
    <s v="C019"/>
    <s v="Prakash"/>
    <x v="6"/>
    <s v="P001"/>
    <s v="Wireless Mouse"/>
    <x v="2"/>
    <n v="4"/>
    <n v="650"/>
    <n v="2600"/>
    <x v="4"/>
    <s v="Paid"/>
    <x v="0"/>
    <d v="2026-09-03T00:00:00"/>
    <d v="2026-09-03T00:00:00"/>
    <s v="Ecom Express"/>
    <x v="0"/>
    <x v="0"/>
    <n v="0"/>
    <x v="2"/>
    <x v="1"/>
  </r>
  <r>
    <s v="ORD049"/>
    <d v="2026-09-01T00:00:00"/>
    <s v="C018"/>
    <s v="Harini"/>
    <x v="2"/>
    <s v="P018"/>
    <s v="Office File"/>
    <x v="0"/>
    <n v="2"/>
    <n v="120"/>
    <n v="240"/>
    <x v="4"/>
    <s v="Paid"/>
    <x v="0"/>
    <d v="2026-09-05T00:00:00"/>
    <d v="2026-09-05T00:00:00"/>
    <s v="BlueDart"/>
    <x v="0"/>
    <x v="0"/>
    <n v="0"/>
    <x v="2"/>
    <x v="0"/>
  </r>
  <r>
    <s v="ORD050"/>
    <d v="2026-07-22T00:00:00"/>
    <s v="C013"/>
    <s v="Dinesh"/>
    <x v="7"/>
    <s v="P011"/>
    <s v="Backpack"/>
    <x v="3"/>
    <n v="4"/>
    <n v="1250"/>
    <n v="5000"/>
    <x v="3"/>
    <s v="Pending"/>
    <x v="0"/>
    <d v="2026-07-28T00:00:00"/>
    <d v="2026-07-28T00:00:00"/>
    <s v="BlueDart"/>
    <x v="0"/>
    <x v="0"/>
    <n v="0"/>
    <x v="2"/>
    <x v="2"/>
  </r>
  <r>
    <s v="ORD051"/>
    <d v="2026-07-11T00:00:00"/>
    <s v="C013"/>
    <s v="Dinesh"/>
    <x v="7"/>
    <s v="P019"/>
    <s v="Desk Organizer"/>
    <x v="0"/>
    <n v="1"/>
    <n v="450"/>
    <n v="450"/>
    <x v="2"/>
    <s v="Paid"/>
    <x v="0"/>
    <d v="2026-07-17T00:00:00"/>
    <d v="2026-07-17T00:00:00"/>
    <s v="BlueDart"/>
    <x v="0"/>
    <x v="0"/>
    <n v="0"/>
    <x v="2"/>
    <x v="2"/>
  </r>
  <r>
    <s v="ORD052"/>
    <d v="2026-07-28T00:00:00"/>
    <s v="C009"/>
    <s v="Vignesh"/>
    <x v="5"/>
    <s v="P013"/>
    <s v="Bedsheet"/>
    <x v="1"/>
    <n v="3"/>
    <n v="950"/>
    <n v="2850"/>
    <x v="4"/>
    <s v="Paid"/>
    <x v="0"/>
    <d v="2026-08-03T00:00:00"/>
    <d v="2026-08-03T00:00:00"/>
    <s v="DTDC"/>
    <x v="0"/>
    <x v="0"/>
    <n v="0"/>
    <x v="2"/>
    <x v="2"/>
  </r>
  <r>
    <s v="ORD053"/>
    <d v="2026-08-30T00:00:00"/>
    <s v="C014"/>
    <s v="Lavanya"/>
    <x v="0"/>
    <s v="P009"/>
    <s v="T-Shirt"/>
    <x v="3"/>
    <n v="1"/>
    <n v="700"/>
    <n v="700"/>
    <x v="1"/>
    <s v="Pending"/>
    <x v="0"/>
    <d v="2026-09-02T00:00:00"/>
    <d v="2026-09-04T00:00:00"/>
    <s v="DTDC"/>
    <x v="0"/>
    <x v="0"/>
    <n v="2"/>
    <x v="0"/>
    <x v="1"/>
  </r>
  <r>
    <s v="ORD054"/>
    <d v="2026-07-04T00:00:00"/>
    <s v="C008"/>
    <s v="Nisha"/>
    <x v="1"/>
    <s v="P003"/>
    <s v="Bluetooth Speaker"/>
    <x v="2"/>
    <n v="1"/>
    <n v="1450"/>
    <n v="1450"/>
    <x v="1"/>
    <s v="Paid"/>
    <x v="6"/>
    <d v="2026-07-08T00:00:00"/>
    <m/>
    <s v="Delhivery"/>
    <x v="0"/>
    <x v="0"/>
    <s v=""/>
    <x v="1"/>
    <x v="2"/>
  </r>
  <r>
    <s v="ORD055"/>
    <d v="2026-09-24T00:00:00"/>
    <s v="C008"/>
    <s v="Nisha"/>
    <x v="1"/>
    <s v="P005"/>
    <s v="USB Cable"/>
    <x v="2"/>
    <n v="4"/>
    <n v="350"/>
    <n v="1400"/>
    <x v="4"/>
    <s v="Paid"/>
    <x v="0"/>
    <d v="2026-09-27T00:00:00"/>
    <d v="2026-09-28T00:00:00"/>
    <s v="DTDC"/>
    <x v="0"/>
    <x v="0"/>
    <n v="1"/>
    <x v="0"/>
    <x v="0"/>
  </r>
  <r>
    <s v="ORD056"/>
    <d v="2026-07-21T00:00:00"/>
    <s v="C012"/>
    <s v="Keerthana"/>
    <x v="6"/>
    <s v="P006"/>
    <s v="Power Bank"/>
    <x v="2"/>
    <n v="1"/>
    <n v="1200"/>
    <n v="1200"/>
    <x v="1"/>
    <s v="Pending"/>
    <x v="0"/>
    <d v="2026-07-26T00:00:00"/>
    <d v="2026-07-25T00:00:00"/>
    <s v="DTDC"/>
    <x v="0"/>
    <x v="0"/>
    <n v="-1"/>
    <x v="2"/>
    <x v="2"/>
  </r>
  <r>
    <s v="ORD057"/>
    <d v="2026-09-30T00:00:00"/>
    <s v="C019"/>
    <s v="Prakash"/>
    <x v="6"/>
    <s v="P013"/>
    <s v="Bedsheet"/>
    <x v="1"/>
    <n v="4"/>
    <n v="950"/>
    <n v="3800"/>
    <x v="3"/>
    <s v="Paid"/>
    <x v="5"/>
    <d v="2026-10-04T00:00:00"/>
    <m/>
    <s v="Delhivery"/>
    <x v="0"/>
    <x v="0"/>
    <s v=""/>
    <x v="1"/>
    <x v="0"/>
  </r>
  <r>
    <s v="ORD058"/>
    <d v="2026-09-11T00:00:00"/>
    <s v="C004"/>
    <s v="Divya"/>
    <x v="3"/>
    <s v="P010"/>
    <s v="Jeans"/>
    <x v="3"/>
    <n v="1"/>
    <n v="1400"/>
    <n v="1400"/>
    <x v="3"/>
    <s v="Paid"/>
    <x v="2"/>
    <d v="2026-09-14T00:00:00"/>
    <d v="2026-09-14T00:00:00"/>
    <s v="Ecom Express"/>
    <x v="2"/>
    <x v="0"/>
    <n v="0"/>
    <x v="2"/>
    <x v="0"/>
  </r>
  <r>
    <s v="ORD059"/>
    <d v="2026-07-02T00:00:00"/>
    <s v="C003"/>
    <s v="Rahul"/>
    <x v="2"/>
    <s v="P017"/>
    <s v="Notebook"/>
    <x v="0"/>
    <n v="3"/>
    <n v="180"/>
    <n v="540"/>
    <x v="1"/>
    <s v="Paid"/>
    <x v="0"/>
    <d v="2026-07-08T00:00:00"/>
    <d v="2026-07-11T00:00:00"/>
    <s v="Ecom Express"/>
    <x v="0"/>
    <x v="0"/>
    <n v="3"/>
    <x v="3"/>
    <x v="2"/>
  </r>
  <r>
    <s v="ORD060"/>
    <d v="2026-08-25T00:00:00"/>
    <s v="C012"/>
    <s v="Keerthana"/>
    <x v="6"/>
    <s v="P015"/>
    <s v="Cookware Set"/>
    <x v="1"/>
    <n v="2"/>
    <n v="3200"/>
    <n v="6400"/>
    <x v="0"/>
    <s v="Pending"/>
    <x v="0"/>
    <d v="2026-08-29T00:00:00"/>
    <d v="2026-08-31T00:00:00"/>
    <s v="Ecom Express"/>
    <x v="0"/>
    <x v="0"/>
    <n v="2"/>
    <x v="0"/>
    <x v="1"/>
  </r>
  <r>
    <s v="ORD061"/>
    <d v="2026-08-11T00:00:00"/>
    <s v="C015"/>
    <s v="Santhosh"/>
    <x v="5"/>
    <s v="P014"/>
    <s v="Water Bottle"/>
    <x v="1"/>
    <n v="3"/>
    <n v="500"/>
    <n v="1500"/>
    <x v="0"/>
    <s v="Paid"/>
    <x v="0"/>
    <d v="2026-08-15T00:00:00"/>
    <d v="2026-08-18T00:00:00"/>
    <s v="Ecom Express"/>
    <x v="0"/>
    <x v="0"/>
    <n v="3"/>
    <x v="3"/>
    <x v="1"/>
  </r>
  <r>
    <s v="ORD062"/>
    <d v="2026-08-13T00:00:00"/>
    <s v="C008"/>
    <s v="Nisha"/>
    <x v="1"/>
    <s v="P015"/>
    <s v="Cookware Set"/>
    <x v="1"/>
    <n v="4"/>
    <n v="3200"/>
    <n v="12800"/>
    <x v="2"/>
    <s v="Paid"/>
    <x v="0"/>
    <d v="2026-08-16T00:00:00"/>
    <d v="2026-08-17T00:00:00"/>
    <s v="Ecom Express"/>
    <x v="0"/>
    <x v="0"/>
    <n v="1"/>
    <x v="0"/>
    <x v="1"/>
  </r>
  <r>
    <s v="ORD063"/>
    <d v="2026-08-13T00:00:00"/>
    <s v="C007"/>
    <s v="Suresh"/>
    <x v="0"/>
    <s v="P012"/>
    <s v="Sports Shoes"/>
    <x v="3"/>
    <n v="3"/>
    <n v="2200"/>
    <n v="6600"/>
    <x v="0"/>
    <s v="Pending"/>
    <x v="5"/>
    <d v="2026-08-18T00:00:00"/>
    <m/>
    <s v="BlueDart"/>
    <x v="0"/>
    <x v="0"/>
    <s v=""/>
    <x v="1"/>
    <x v="1"/>
  </r>
  <r>
    <s v="ORD064"/>
    <d v="2026-07-31T00:00:00"/>
    <s v="C017"/>
    <s v="Vijay"/>
    <x v="1"/>
    <s v="P007"/>
    <s v="Smart Watch"/>
    <x v="2"/>
    <n v="1"/>
    <n v="2500"/>
    <n v="2500"/>
    <x v="3"/>
    <s v="Pending"/>
    <x v="1"/>
    <d v="2026-08-06T00:00:00"/>
    <m/>
    <s v="Delhivery"/>
    <x v="0"/>
    <x v="3"/>
    <s v=""/>
    <x v="1"/>
    <x v="2"/>
  </r>
  <r>
    <s v="ORD065"/>
    <d v="2026-07-12T00:00:00"/>
    <s v="C016"/>
    <s v="Pavithra"/>
    <x v="4"/>
    <s v="P015"/>
    <s v="Cookware Set"/>
    <x v="1"/>
    <n v="1"/>
    <n v="3200"/>
    <n v="3200"/>
    <x v="4"/>
    <s v="Paid"/>
    <x v="3"/>
    <d v="2026-07-17T00:00:00"/>
    <m/>
    <s v="Delhivery"/>
    <x v="0"/>
    <x v="0"/>
    <s v=""/>
    <x v="1"/>
    <x v="2"/>
  </r>
  <r>
    <s v="ORD066"/>
    <d v="2026-08-30T00:00:00"/>
    <s v="C010"/>
    <s v="Asha"/>
    <x v="4"/>
    <s v="P019"/>
    <s v="Desk Organizer"/>
    <x v="0"/>
    <n v="3"/>
    <n v="450"/>
    <n v="1350"/>
    <x v="4"/>
    <s v="Paid"/>
    <x v="0"/>
    <d v="2026-09-06T00:00:00"/>
    <d v="2026-09-07T00:00:00"/>
    <s v="DTDC"/>
    <x v="0"/>
    <x v="0"/>
    <n v="1"/>
    <x v="0"/>
    <x v="1"/>
  </r>
  <r>
    <s v="ORD067"/>
    <d v="2026-08-09T00:00:00"/>
    <s v="C012"/>
    <s v="Keerthana"/>
    <x v="6"/>
    <s v="P015"/>
    <s v="Cookware Set"/>
    <x v="1"/>
    <n v="3"/>
    <n v="3200"/>
    <n v="9600"/>
    <x v="1"/>
    <s v="Paid"/>
    <x v="3"/>
    <d v="2026-08-14T00:00:00"/>
    <m/>
    <s v="Delhivery"/>
    <x v="0"/>
    <x v="0"/>
    <s v=""/>
    <x v="1"/>
    <x v="1"/>
  </r>
  <r>
    <s v="ORD068"/>
    <d v="2026-07-25T00:00:00"/>
    <s v="C011"/>
    <s v="Manoj"/>
    <x v="2"/>
    <s v="P004"/>
    <s v="Headphones"/>
    <x v="2"/>
    <n v="2"/>
    <n v="1800"/>
    <n v="3600"/>
    <x v="0"/>
    <s v="Paid"/>
    <x v="0"/>
    <d v="2026-07-29T00:00:00"/>
    <d v="2026-07-31T00:00:00"/>
    <s v="DTDC"/>
    <x v="0"/>
    <x v="0"/>
    <n v="2"/>
    <x v="0"/>
    <x v="2"/>
  </r>
  <r>
    <s v="ORD069"/>
    <d v="2026-07-30T00:00:00"/>
    <s v="C004"/>
    <s v="Divya"/>
    <x v="3"/>
    <s v="P007"/>
    <s v="Smart Watch"/>
    <x v="2"/>
    <n v="3"/>
    <n v="2500"/>
    <n v="7500"/>
    <x v="1"/>
    <s v="Paid"/>
    <x v="0"/>
    <d v="2026-08-04T00:00:00"/>
    <d v="2026-08-04T00:00:00"/>
    <s v="Delhivery"/>
    <x v="0"/>
    <x v="0"/>
    <n v="0"/>
    <x v="2"/>
    <x v="2"/>
  </r>
  <r>
    <s v="ORD070"/>
    <d v="2026-09-09T00:00:00"/>
    <s v="C009"/>
    <s v="Vignesh"/>
    <x v="5"/>
    <s v="P002"/>
    <s v="Keyboard"/>
    <x v="2"/>
    <n v="1"/>
    <n v="850"/>
    <n v="850"/>
    <x v="2"/>
    <s v="Refunded"/>
    <x v="1"/>
    <d v="2026-09-14T00:00:00"/>
    <m/>
    <s v="Ecom Express"/>
    <x v="0"/>
    <x v="4"/>
    <s v=""/>
    <x v="1"/>
    <x v="0"/>
  </r>
  <r>
    <s v="ORD071"/>
    <d v="2026-08-30T00:00:00"/>
    <s v="C001"/>
    <s v="Arun Kumar"/>
    <x v="5"/>
    <s v="P019"/>
    <s v="Desk Organizer"/>
    <x v="0"/>
    <n v="3"/>
    <n v="450"/>
    <n v="1350"/>
    <x v="0"/>
    <s v="Paid"/>
    <x v="6"/>
    <d v="2026-09-05T00:00:00"/>
    <m/>
    <s v="Delhivery"/>
    <x v="0"/>
    <x v="0"/>
    <s v=""/>
    <x v="1"/>
    <x v="1"/>
  </r>
  <r>
    <s v="ORD072"/>
    <d v="2026-07-15T00:00:00"/>
    <s v="C002"/>
    <s v="Priya"/>
    <x v="4"/>
    <s v="P009"/>
    <s v="T-Shirt"/>
    <x v="3"/>
    <n v="4"/>
    <n v="700"/>
    <n v="2800"/>
    <x v="4"/>
    <s v="Pending"/>
    <x v="1"/>
    <d v="2026-07-18T00:00:00"/>
    <m/>
    <s v="BlueDart"/>
    <x v="0"/>
    <x v="1"/>
    <s v=""/>
    <x v="1"/>
    <x v="2"/>
  </r>
  <r>
    <s v="ORD073"/>
    <d v="2026-09-11T00:00:00"/>
    <s v="C002"/>
    <s v="Priya"/>
    <x v="4"/>
    <s v="P005"/>
    <s v="USB Cable"/>
    <x v="2"/>
    <n v="2"/>
    <n v="350"/>
    <n v="700"/>
    <x v="1"/>
    <s v="Paid"/>
    <x v="0"/>
    <d v="2026-09-16T00:00:00"/>
    <d v="2026-09-15T00:00:00"/>
    <s v="Ecom Express"/>
    <x v="0"/>
    <x v="0"/>
    <n v="-1"/>
    <x v="2"/>
    <x v="0"/>
  </r>
  <r>
    <s v="ORD074"/>
    <d v="2026-09-05T00:00:00"/>
    <s v="C020"/>
    <s v="Fathima"/>
    <x v="4"/>
    <s v="P020"/>
    <s v="Calculator"/>
    <x v="0"/>
    <n v="2"/>
    <n v="550"/>
    <n v="1100"/>
    <x v="0"/>
    <s v="Paid"/>
    <x v="0"/>
    <d v="2026-09-11T00:00:00"/>
    <d v="2026-09-12T00:00:00"/>
    <s v="Ecom Express"/>
    <x v="0"/>
    <x v="0"/>
    <n v="1"/>
    <x v="0"/>
    <x v="0"/>
  </r>
  <r>
    <s v="ORD075"/>
    <d v="2026-09-17T00:00:00"/>
    <s v="C010"/>
    <s v="Asha"/>
    <x v="4"/>
    <s v="P019"/>
    <s v="Desk Organizer"/>
    <x v="0"/>
    <n v="1"/>
    <n v="450"/>
    <n v="450"/>
    <x v="2"/>
    <s v="Paid"/>
    <x v="4"/>
    <d v="2026-09-20T00:00:00"/>
    <m/>
    <s v="DTDC"/>
    <x v="0"/>
    <x v="0"/>
    <s v=""/>
    <x v="1"/>
    <x v="0"/>
  </r>
  <r>
    <s v="ORD076"/>
    <d v="2026-07-23T00:00:00"/>
    <s v="C003"/>
    <s v="Rahul"/>
    <x v="2"/>
    <s v="P006"/>
    <s v="Power Bank"/>
    <x v="2"/>
    <n v="2"/>
    <n v="1200"/>
    <n v="2400"/>
    <x v="1"/>
    <s v="Paid"/>
    <x v="0"/>
    <d v="2026-07-30T00:00:00"/>
    <d v="2026-07-29T00:00:00"/>
    <s v="Ecom Express"/>
    <x v="0"/>
    <x v="0"/>
    <n v="-1"/>
    <x v="2"/>
    <x v="2"/>
  </r>
  <r>
    <s v="ORD077"/>
    <d v="2026-08-07T00:00:00"/>
    <s v="C015"/>
    <s v="Santhosh"/>
    <x v="5"/>
    <s v="P020"/>
    <s v="Calculator"/>
    <x v="0"/>
    <n v="4"/>
    <n v="550"/>
    <n v="2200"/>
    <x v="0"/>
    <s v="Paid"/>
    <x v="0"/>
    <d v="2026-08-10T00:00:00"/>
    <d v="2026-08-10T00:00:00"/>
    <s v="Ecom Express"/>
    <x v="0"/>
    <x v="0"/>
    <n v="0"/>
    <x v="2"/>
    <x v="1"/>
  </r>
  <r>
    <s v="ORD078"/>
    <d v="2026-09-19T00:00:00"/>
    <s v="C003"/>
    <s v="Rahul"/>
    <x v="2"/>
    <s v="P008"/>
    <s v="Laptop Stand"/>
    <x v="2"/>
    <n v="3"/>
    <n v="1100"/>
    <n v="3300"/>
    <x v="4"/>
    <s v="Paid"/>
    <x v="0"/>
    <d v="2026-09-26T00:00:00"/>
    <d v="2026-09-28T00:00:00"/>
    <s v="BlueDart"/>
    <x v="0"/>
    <x v="0"/>
    <n v="2"/>
    <x v="0"/>
    <x v="0"/>
  </r>
  <r>
    <s v="ORD079"/>
    <d v="2026-08-04T00:00:00"/>
    <s v="C018"/>
    <s v="Harini"/>
    <x v="2"/>
    <s v="P008"/>
    <s v="Laptop Stand"/>
    <x v="2"/>
    <n v="2"/>
    <n v="1100"/>
    <n v="2200"/>
    <x v="2"/>
    <s v="Paid"/>
    <x v="0"/>
    <d v="2026-08-08T00:00:00"/>
    <d v="2026-08-07T00:00:00"/>
    <s v="DTDC"/>
    <x v="0"/>
    <x v="0"/>
    <n v="-1"/>
    <x v="2"/>
    <x v="1"/>
  </r>
  <r>
    <s v="ORD080"/>
    <d v="2026-08-26T00:00:00"/>
    <s v="C020"/>
    <s v="Fathima"/>
    <x v="7"/>
    <s v="P019"/>
    <s v="Desk Organizer"/>
    <x v="0"/>
    <n v="3"/>
    <n v="450"/>
    <n v="1350"/>
    <x v="0"/>
    <s v="Paid"/>
    <x v="2"/>
    <d v="2026-08-29T00:00:00"/>
    <d v="2026-08-30T00:00:00"/>
    <s v="Ecom Express"/>
    <x v="2"/>
    <x v="0"/>
    <n v="1"/>
    <x v="0"/>
    <x v="1"/>
  </r>
  <r>
    <s v="ORD081"/>
    <d v="2026-08-26T00:00:00"/>
    <s v="C017"/>
    <s v="Vijay"/>
    <x v="1"/>
    <s v="P018"/>
    <s v="Office File"/>
    <x v="0"/>
    <n v="4"/>
    <n v="120"/>
    <n v="480"/>
    <x v="4"/>
    <s v="Paid"/>
    <x v="0"/>
    <d v="2026-08-29T00:00:00"/>
    <d v="2026-08-30T00:00:00"/>
    <s v="DTDC"/>
    <x v="0"/>
    <x v="0"/>
    <n v="1"/>
    <x v="0"/>
    <x v="1"/>
  </r>
  <r>
    <s v="ORD082"/>
    <d v="2026-07-12T00:00:00"/>
    <s v="C020"/>
    <s v="Fathima"/>
    <x v="7"/>
    <s v="P009"/>
    <s v="T-Shirt"/>
    <x v="3"/>
    <n v="1"/>
    <n v="700"/>
    <n v="700"/>
    <x v="3"/>
    <s v="Pending"/>
    <x v="3"/>
    <d v="2026-07-16T00:00:00"/>
    <m/>
    <s v="BlueDart"/>
    <x v="0"/>
    <x v="0"/>
    <s v=""/>
    <x v="1"/>
    <x v="2"/>
  </r>
  <r>
    <s v="ORD083"/>
    <d v="2026-07-23T00:00:00"/>
    <s v="C009"/>
    <s v="Vignesh"/>
    <x v="5"/>
    <s v="P019"/>
    <s v="Desk Organizer"/>
    <x v="0"/>
    <n v="1"/>
    <n v="450"/>
    <n v="450"/>
    <x v="4"/>
    <s v="Pending"/>
    <x v="0"/>
    <d v="2026-07-29T00:00:00"/>
    <d v="2026-07-30T00:00:00"/>
    <s v="DTDC"/>
    <x v="0"/>
    <x v="0"/>
    <n v="1"/>
    <x v="0"/>
    <x v="2"/>
  </r>
  <r>
    <s v="ORD084"/>
    <d v="2026-09-20T00:00:00"/>
    <s v="C006"/>
    <s v="Meena"/>
    <x v="7"/>
    <s v="P019"/>
    <s v="Desk Organizer"/>
    <x v="0"/>
    <n v="4"/>
    <n v="450"/>
    <n v="1800"/>
    <x v="4"/>
    <s v="Paid"/>
    <x v="3"/>
    <d v="2026-09-26T00:00:00"/>
    <m/>
    <s v="DTDC"/>
    <x v="0"/>
    <x v="0"/>
    <s v=""/>
    <x v="1"/>
    <x v="0"/>
  </r>
  <r>
    <s v="ORD085"/>
    <d v="2026-09-24T00:00:00"/>
    <s v="C014"/>
    <s v="Lavanya"/>
    <x v="0"/>
    <s v="P011"/>
    <s v="Backpack"/>
    <x v="3"/>
    <n v="3"/>
    <n v="1250"/>
    <n v="3750"/>
    <x v="0"/>
    <s v="Paid"/>
    <x v="6"/>
    <d v="2026-09-27T00:00:00"/>
    <m/>
    <s v="Ecom Express"/>
    <x v="0"/>
    <x v="0"/>
    <s v=""/>
    <x v="1"/>
    <x v="0"/>
  </r>
  <r>
    <s v="ORD086"/>
    <d v="2026-09-09T00:00:00"/>
    <s v="C016"/>
    <s v="Pavithra"/>
    <x v="4"/>
    <s v="P010"/>
    <s v="Jeans"/>
    <x v="3"/>
    <n v="4"/>
    <n v="1400"/>
    <n v="5600"/>
    <x v="0"/>
    <s v="Paid"/>
    <x v="0"/>
    <d v="2026-09-12T00:00:00"/>
    <d v="2026-09-13T00:00:00"/>
    <s v="DTDC"/>
    <x v="0"/>
    <x v="0"/>
    <n v="1"/>
    <x v="0"/>
    <x v="0"/>
  </r>
  <r>
    <s v="ORD087"/>
    <d v="2026-09-04T00:00:00"/>
    <s v="C011"/>
    <s v="Manoj"/>
    <x v="2"/>
    <s v="P004"/>
    <s v="Headphones"/>
    <x v="2"/>
    <n v="4"/>
    <n v="1800"/>
    <n v="7200"/>
    <x v="4"/>
    <s v="Pending"/>
    <x v="0"/>
    <d v="2026-09-07T00:00:00"/>
    <d v="2026-09-09T00:00:00"/>
    <s v="Ecom Express"/>
    <x v="0"/>
    <x v="0"/>
    <n v="2"/>
    <x v="0"/>
    <x v="0"/>
  </r>
  <r>
    <s v="ORD088"/>
    <d v="2026-09-18T00:00:00"/>
    <s v="C002"/>
    <s v="Priya"/>
    <x v="4"/>
    <s v="P007"/>
    <s v="Smart Watch"/>
    <x v="2"/>
    <n v="3"/>
    <n v="2500"/>
    <n v="7500"/>
    <x v="4"/>
    <s v="Pending"/>
    <x v="6"/>
    <d v="2026-09-24T00:00:00"/>
    <m/>
    <s v="BlueDart"/>
    <x v="0"/>
    <x v="0"/>
    <s v=""/>
    <x v="1"/>
    <x v="0"/>
  </r>
  <r>
    <s v="ORD089"/>
    <d v="2026-08-06T00:00:00"/>
    <s v="C007"/>
    <s v="Suresh"/>
    <x v="0"/>
    <s v="P009"/>
    <s v="T-Shirt"/>
    <x v="3"/>
    <n v="2"/>
    <n v="700"/>
    <n v="1400"/>
    <x v="4"/>
    <s v="Pending"/>
    <x v="3"/>
    <d v="2026-08-12T00:00:00"/>
    <m/>
    <s v="BlueDart"/>
    <x v="0"/>
    <x v="0"/>
    <s v=""/>
    <x v="1"/>
    <x v="1"/>
  </r>
  <r>
    <s v="ORD090"/>
    <d v="2026-09-29T00:00:00"/>
    <s v="C001"/>
    <s v="Arun Kumar"/>
    <x v="5"/>
    <s v="P020"/>
    <s v="Calculator"/>
    <x v="0"/>
    <n v="2"/>
    <n v="550"/>
    <n v="1100"/>
    <x v="3"/>
    <s v="Pending"/>
    <x v="1"/>
    <d v="2026-10-03T00:00:00"/>
    <m/>
    <s v="BlueDart"/>
    <x v="0"/>
    <x v="1"/>
    <s v=""/>
    <x v="1"/>
    <x v="0"/>
  </r>
  <r>
    <s v="ORD091"/>
    <d v="2026-07-15T00:00:00"/>
    <s v="C014"/>
    <s v="Lavanya"/>
    <x v="0"/>
    <s v="P003"/>
    <s v="Bluetooth Speaker"/>
    <x v="2"/>
    <n v="2"/>
    <n v="1450"/>
    <n v="2900"/>
    <x v="2"/>
    <s v="Pending"/>
    <x v="0"/>
    <d v="2026-07-21T00:00:00"/>
    <d v="2026-07-20T00:00:00"/>
    <s v="Ecom Express"/>
    <x v="0"/>
    <x v="0"/>
    <n v="-1"/>
    <x v="2"/>
    <x v="2"/>
  </r>
  <r>
    <s v="ORD092"/>
    <d v="2026-08-23T00:00:00"/>
    <s v="C010"/>
    <s v="Asha"/>
    <x v="4"/>
    <s v="P017"/>
    <s v="Notebook"/>
    <x v="0"/>
    <n v="3"/>
    <n v="180"/>
    <n v="540"/>
    <x v="4"/>
    <s v="Paid"/>
    <x v="0"/>
    <d v="2026-08-29T00:00:00"/>
    <d v="2026-08-30T00:00:00"/>
    <s v="Delhivery"/>
    <x v="0"/>
    <x v="0"/>
    <n v="1"/>
    <x v="0"/>
    <x v="1"/>
  </r>
  <r>
    <s v="ORD093"/>
    <d v="2026-07-09T00:00:00"/>
    <s v="C013"/>
    <s v="Dinesh"/>
    <x v="7"/>
    <s v="P007"/>
    <s v="Smart Watch"/>
    <x v="2"/>
    <n v="2"/>
    <n v="2500"/>
    <n v="5000"/>
    <x v="0"/>
    <s v="Paid"/>
    <x v="6"/>
    <d v="2026-07-14T00:00:00"/>
    <m/>
    <s v="DTDC"/>
    <x v="0"/>
    <x v="0"/>
    <s v=""/>
    <x v="1"/>
    <x v="2"/>
  </r>
  <r>
    <s v="ORD094"/>
    <d v="2026-09-14T00:00:00"/>
    <s v="C001"/>
    <s v="Arun Kumar"/>
    <x v="5"/>
    <s v="P010"/>
    <s v="Jeans"/>
    <x v="3"/>
    <n v="3"/>
    <n v="1400"/>
    <n v="4200"/>
    <x v="2"/>
    <s v="Paid"/>
    <x v="0"/>
    <d v="2026-09-21T00:00:00"/>
    <d v="2026-09-23T00:00:00"/>
    <s v="Ecom Express"/>
    <x v="0"/>
    <x v="0"/>
    <n v="2"/>
    <x v="0"/>
    <x v="0"/>
  </r>
  <r>
    <s v="ORD095"/>
    <d v="2026-08-12T00:00:00"/>
    <s v="C018"/>
    <s v="Harini"/>
    <x v="2"/>
    <s v="P016"/>
    <s v="Storage Box"/>
    <x v="1"/>
    <n v="3"/>
    <n v="750"/>
    <n v="2250"/>
    <x v="4"/>
    <s v="Pending"/>
    <x v="5"/>
    <d v="2026-08-19T00:00:00"/>
    <m/>
    <s v="Ecom Express"/>
    <x v="0"/>
    <x v="0"/>
    <s v=""/>
    <x v="1"/>
    <x v="1"/>
  </r>
  <r>
    <s v="ORD096"/>
    <d v="2026-09-12T00:00:00"/>
    <s v="C011"/>
    <s v="Manoj"/>
    <x v="2"/>
    <s v="P007"/>
    <s v="Smart Watch"/>
    <x v="2"/>
    <n v="2"/>
    <n v="2500"/>
    <n v="5000"/>
    <x v="1"/>
    <s v="Paid"/>
    <x v="0"/>
    <d v="2026-09-18T00:00:00"/>
    <d v="2026-09-18T00:00:00"/>
    <s v="DTDC"/>
    <x v="0"/>
    <x v="0"/>
    <n v="0"/>
    <x v="2"/>
    <x v="0"/>
  </r>
  <r>
    <s v="ORD097"/>
    <d v="2026-09-23T00:00:00"/>
    <s v="C016"/>
    <s v="Pavithra"/>
    <x v="4"/>
    <s v="P013"/>
    <s v="Bedsheet"/>
    <x v="1"/>
    <n v="4"/>
    <n v="950"/>
    <n v="3800"/>
    <x v="2"/>
    <s v="Paid"/>
    <x v="0"/>
    <d v="2026-09-27T00:00:00"/>
    <d v="2026-09-28T00:00:00"/>
    <s v="DTDC"/>
    <x v="0"/>
    <x v="0"/>
    <n v="1"/>
    <x v="0"/>
    <x v="0"/>
  </r>
  <r>
    <s v="ORD098"/>
    <d v="2026-09-06T00:00:00"/>
    <s v="C004"/>
    <s v="Divya"/>
    <x v="3"/>
    <s v="P015"/>
    <s v="Cookware Set"/>
    <x v="1"/>
    <n v="1"/>
    <n v="3200"/>
    <n v="3200"/>
    <x v="2"/>
    <s v="Failed"/>
    <x v="1"/>
    <d v="2026-09-12T00:00:00"/>
    <m/>
    <s v="Ecom Express"/>
    <x v="0"/>
    <x v="2"/>
    <s v=""/>
    <x v="1"/>
    <x v="0"/>
  </r>
  <r>
    <s v="ORD099"/>
    <d v="2026-08-13T00:00:00"/>
    <s v="C003"/>
    <s v="Rahul"/>
    <x v="2"/>
    <s v="P016"/>
    <s v="Storage Box"/>
    <x v="1"/>
    <n v="3"/>
    <n v="750"/>
    <n v="2250"/>
    <x v="1"/>
    <s v="Paid"/>
    <x v="0"/>
    <d v="2026-08-20T00:00:00"/>
    <d v="2026-08-22T00:00:00"/>
    <s v="DTDC"/>
    <x v="0"/>
    <x v="0"/>
    <n v="2"/>
    <x v="0"/>
    <x v="1"/>
  </r>
  <r>
    <s v="ORD100"/>
    <d v="2026-09-19T00:00:00"/>
    <s v="C018"/>
    <s v="Harini"/>
    <x v="2"/>
    <s v="P013"/>
    <s v="Bedsheet"/>
    <x v="1"/>
    <n v="3"/>
    <n v="950"/>
    <n v="2850"/>
    <x v="1"/>
    <s v="Pending"/>
    <x v="0"/>
    <d v="2026-09-25T00:00:00"/>
    <d v="2026-09-28T00:00:00"/>
    <s v="BlueDart"/>
    <x v="0"/>
    <x v="0"/>
    <n v="3"/>
    <x v="3"/>
    <x v="0"/>
  </r>
  <r>
    <s v="ORD101"/>
    <d v="2026-07-12T00:00:00"/>
    <s v="C008"/>
    <s v="Nisha"/>
    <x v="1"/>
    <s v="P010"/>
    <s v="Jeans"/>
    <x v="3"/>
    <n v="2"/>
    <n v="1400"/>
    <n v="2800"/>
    <x v="1"/>
    <s v="Failed"/>
    <x v="1"/>
    <d v="2026-07-18T00:00:00"/>
    <m/>
    <s v="Ecom Express"/>
    <x v="0"/>
    <x v="2"/>
    <s v=""/>
    <x v="1"/>
    <x v="2"/>
  </r>
  <r>
    <s v="ORD102"/>
    <d v="2026-08-11T00:00:00"/>
    <s v="C010"/>
    <s v="Asha"/>
    <x v="4"/>
    <s v="P001"/>
    <s v="Wireless Mouse"/>
    <x v="2"/>
    <n v="1"/>
    <n v="650"/>
    <n v="650"/>
    <x v="0"/>
    <s v="Paid"/>
    <x v="0"/>
    <d v="2026-08-14T00:00:00"/>
    <d v="2026-08-14T00:00:00"/>
    <s v="Ecom Express"/>
    <x v="0"/>
    <x v="0"/>
    <n v="0"/>
    <x v="2"/>
    <x v="1"/>
  </r>
  <r>
    <s v="ORD103"/>
    <d v="2026-09-11T00:00:00"/>
    <s v="C005"/>
    <s v="Karthik"/>
    <x v="6"/>
    <s v="P008"/>
    <s v="Laptop Stand"/>
    <x v="2"/>
    <n v="4"/>
    <n v="1100"/>
    <n v="4400"/>
    <x v="1"/>
    <s v="Paid"/>
    <x v="0"/>
    <d v="2026-09-15T00:00:00"/>
    <d v="2026-09-15T00:00:00"/>
    <s v="Ecom Express"/>
    <x v="0"/>
    <x v="0"/>
    <n v="0"/>
    <x v="2"/>
    <x v="0"/>
  </r>
  <r>
    <s v="ORD104"/>
    <d v="2026-09-13T00:00:00"/>
    <s v="C020"/>
    <s v="Fathima"/>
    <x v="7"/>
    <s v="P008"/>
    <s v="Laptop Stand"/>
    <x v="2"/>
    <n v="4"/>
    <n v="1100"/>
    <n v="4400"/>
    <x v="4"/>
    <s v="Failed"/>
    <x v="1"/>
    <d v="2026-09-17T00:00:00"/>
    <m/>
    <s v="DTDC"/>
    <x v="0"/>
    <x v="3"/>
    <s v=""/>
    <x v="1"/>
    <x v="0"/>
  </r>
  <r>
    <s v="ORD105"/>
    <d v="2026-08-06T00:00:00"/>
    <s v="C009"/>
    <s v="Vignesh"/>
    <x v="5"/>
    <s v="P001"/>
    <s v="Wireless Mouse"/>
    <x v="2"/>
    <n v="4"/>
    <n v="650"/>
    <n v="2600"/>
    <x v="4"/>
    <s v="Paid"/>
    <x v="0"/>
    <d v="2026-08-13T00:00:00"/>
    <d v="2026-08-13T00:00:00"/>
    <s v="DTDC"/>
    <x v="0"/>
    <x v="0"/>
    <n v="0"/>
    <x v="2"/>
    <x v="1"/>
  </r>
  <r>
    <s v="ORD106"/>
    <d v="2026-09-27T00:00:00"/>
    <s v="C019"/>
    <s v="Prakash"/>
    <x v="6"/>
    <s v="P010"/>
    <s v="Jeans"/>
    <x v="3"/>
    <n v="4"/>
    <n v="1400"/>
    <n v="5600"/>
    <x v="2"/>
    <s v="Paid"/>
    <x v="0"/>
    <d v="2026-10-02T00:00:00"/>
    <d v="2026-10-03T00:00:00"/>
    <s v="Ecom Express"/>
    <x v="0"/>
    <x v="0"/>
    <n v="1"/>
    <x v="0"/>
    <x v="0"/>
  </r>
  <r>
    <s v="ORD107"/>
    <d v="2026-08-18T00:00:00"/>
    <s v="C016"/>
    <s v="Pavithra"/>
    <x v="4"/>
    <s v="P004"/>
    <s v="Headphones"/>
    <x v="2"/>
    <n v="2"/>
    <n v="1800"/>
    <n v="3600"/>
    <x v="3"/>
    <s v="Paid"/>
    <x v="3"/>
    <d v="2026-08-25T00:00:00"/>
    <m/>
    <s v="DTDC"/>
    <x v="0"/>
    <x v="0"/>
    <s v=""/>
    <x v="1"/>
    <x v="1"/>
  </r>
  <r>
    <s v="ORD108"/>
    <d v="2026-08-05T00:00:00"/>
    <s v="C010"/>
    <s v="Asha"/>
    <x v="4"/>
    <s v="P001"/>
    <s v="Wireless Mouse"/>
    <x v="2"/>
    <n v="4"/>
    <n v="650"/>
    <n v="2600"/>
    <x v="1"/>
    <s v="Pending"/>
    <x v="3"/>
    <d v="2026-08-08T00:00:00"/>
    <m/>
    <s v="Ecom Express"/>
    <x v="0"/>
    <x v="0"/>
    <s v=""/>
    <x v="1"/>
    <x v="1"/>
  </r>
  <r>
    <s v="ORD109"/>
    <d v="2026-07-29T00:00:00"/>
    <s v="C010"/>
    <s v="Asha"/>
    <x v="4"/>
    <s v="P008"/>
    <s v="Laptop Stand"/>
    <x v="2"/>
    <n v="3"/>
    <n v="1100"/>
    <n v="3300"/>
    <x v="0"/>
    <s v="Paid"/>
    <x v="2"/>
    <d v="2026-08-02T00:00:00"/>
    <d v="2026-08-03T00:00:00"/>
    <s v="Delhivery"/>
    <x v="3"/>
    <x v="0"/>
    <n v="1"/>
    <x v="0"/>
    <x v="2"/>
  </r>
  <r>
    <s v="ORD110"/>
    <d v="2026-07-05T00:00:00"/>
    <s v="C002"/>
    <s v="Priya"/>
    <x v="4"/>
    <s v="P010"/>
    <s v="Jeans"/>
    <x v="3"/>
    <n v="4"/>
    <n v="1400"/>
    <n v="5600"/>
    <x v="2"/>
    <s v="Paid"/>
    <x v="3"/>
    <d v="2026-07-12T00:00:00"/>
    <m/>
    <s v="BlueDart"/>
    <x v="0"/>
    <x v="0"/>
    <s v=""/>
    <x v="1"/>
    <x v="2"/>
  </r>
  <r>
    <s v="ORD111"/>
    <d v="2026-07-23T00:00:00"/>
    <s v="C010"/>
    <s v="Asha"/>
    <x v="4"/>
    <s v="P011"/>
    <s v="Backpack"/>
    <x v="3"/>
    <n v="4"/>
    <n v="1250"/>
    <n v="5000"/>
    <x v="3"/>
    <s v="Failed"/>
    <x v="1"/>
    <d v="2026-07-27T00:00:00"/>
    <m/>
    <s v="DTDC"/>
    <x v="0"/>
    <x v="1"/>
    <s v=""/>
    <x v="1"/>
    <x v="2"/>
  </r>
  <r>
    <s v="ORD112"/>
    <d v="2026-08-02T00:00:00"/>
    <s v="C017"/>
    <s v="Vijay"/>
    <x v="1"/>
    <s v="P009"/>
    <s v="T-Shirt"/>
    <x v="3"/>
    <n v="2"/>
    <n v="700"/>
    <n v="1400"/>
    <x v="0"/>
    <s v="Paid"/>
    <x v="3"/>
    <d v="2026-08-08T00:00:00"/>
    <m/>
    <s v="BlueDart"/>
    <x v="0"/>
    <x v="0"/>
    <s v=""/>
    <x v="1"/>
    <x v="1"/>
  </r>
  <r>
    <s v="ORD113"/>
    <d v="2026-07-29T00:00:00"/>
    <s v="C015"/>
    <s v="Santhosh"/>
    <x v="5"/>
    <s v="P003"/>
    <s v="Bluetooth Speaker"/>
    <x v="2"/>
    <n v="2"/>
    <n v="1450"/>
    <n v="2900"/>
    <x v="0"/>
    <s v="Pending"/>
    <x v="0"/>
    <d v="2026-08-04T00:00:00"/>
    <d v="2026-08-07T00:00:00"/>
    <s v="BlueDart"/>
    <x v="0"/>
    <x v="0"/>
    <n v="3"/>
    <x v="3"/>
    <x v="2"/>
  </r>
  <r>
    <s v="ORD114"/>
    <d v="2026-09-07T00:00:00"/>
    <s v="C013"/>
    <s v="Dinesh"/>
    <x v="7"/>
    <s v="P001"/>
    <s v="Wireless Mouse"/>
    <x v="2"/>
    <n v="3"/>
    <n v="650"/>
    <n v="1950"/>
    <x v="0"/>
    <s v="Paid"/>
    <x v="0"/>
    <d v="2026-09-10T00:00:00"/>
    <d v="2026-09-11T00:00:00"/>
    <s v="Ecom Express"/>
    <x v="0"/>
    <x v="0"/>
    <n v="1"/>
    <x v="0"/>
    <x v="0"/>
  </r>
  <r>
    <s v="ORD115"/>
    <d v="2026-08-30T00:00:00"/>
    <s v="C012"/>
    <s v="Keerthana"/>
    <x v="6"/>
    <s v="P004"/>
    <s v="Headphones"/>
    <x v="2"/>
    <n v="2"/>
    <n v="1800"/>
    <n v="3600"/>
    <x v="3"/>
    <s v="Pending"/>
    <x v="4"/>
    <d v="2026-09-02T00:00:00"/>
    <m/>
    <s v="DTDC"/>
    <x v="0"/>
    <x v="0"/>
    <s v=""/>
    <x v="1"/>
    <x v="1"/>
  </r>
  <r>
    <s v="ORD116"/>
    <d v="2026-09-20T00:00:00"/>
    <s v="C020"/>
    <s v="Fathima"/>
    <x v="7"/>
    <s v="P008"/>
    <s v="Laptop Stand"/>
    <x v="2"/>
    <n v="1"/>
    <n v="1100"/>
    <n v="1100"/>
    <x v="0"/>
    <s v="Pending"/>
    <x v="3"/>
    <d v="2026-09-26T00:00:00"/>
    <m/>
    <s v="Ecom Express"/>
    <x v="0"/>
    <x v="0"/>
    <s v=""/>
    <x v="1"/>
    <x v="0"/>
  </r>
  <r>
    <s v="ORD117"/>
    <d v="2026-07-05T00:00:00"/>
    <s v="C004"/>
    <s v="Divya"/>
    <x v="3"/>
    <s v="P005"/>
    <s v="USB Cable"/>
    <x v="2"/>
    <n v="1"/>
    <n v="350"/>
    <n v="350"/>
    <x v="1"/>
    <s v="Paid"/>
    <x v="6"/>
    <d v="2026-07-10T00:00:00"/>
    <m/>
    <s v="BlueDart"/>
    <x v="0"/>
    <x v="0"/>
    <s v=""/>
    <x v="1"/>
    <x v="2"/>
  </r>
  <r>
    <s v="ORD118"/>
    <d v="2026-08-19T00:00:00"/>
    <s v="C008"/>
    <s v="Nisha"/>
    <x v="1"/>
    <s v="P018"/>
    <s v="Office File"/>
    <x v="0"/>
    <n v="2"/>
    <n v="120"/>
    <n v="240"/>
    <x v="3"/>
    <s v="Paid"/>
    <x v="3"/>
    <d v="2026-08-25T00:00:00"/>
    <m/>
    <s v="Ecom Express"/>
    <x v="0"/>
    <x v="0"/>
    <s v=""/>
    <x v="1"/>
    <x v="1"/>
  </r>
  <r>
    <s v="ORD119"/>
    <d v="2026-09-22T00:00:00"/>
    <s v="C019"/>
    <s v="Prakash"/>
    <x v="6"/>
    <s v="P005"/>
    <s v="USB Cable"/>
    <x v="2"/>
    <n v="4"/>
    <n v="350"/>
    <n v="1400"/>
    <x v="3"/>
    <s v="Paid"/>
    <x v="3"/>
    <d v="2026-09-25T00:00:00"/>
    <m/>
    <s v="Ecom Express"/>
    <x v="0"/>
    <x v="0"/>
    <s v=""/>
    <x v="1"/>
    <x v="0"/>
  </r>
  <r>
    <s v="ORD120"/>
    <d v="2026-07-28T00:00:00"/>
    <s v="C009"/>
    <s v="Vignesh"/>
    <x v="5"/>
    <s v="P002"/>
    <s v="Keyboard"/>
    <x v="2"/>
    <n v="3"/>
    <n v="850"/>
    <n v="2550"/>
    <x v="0"/>
    <s v="Paid"/>
    <x v="0"/>
    <d v="2026-08-03T00:00:00"/>
    <d v="2026-08-04T00:00:00"/>
    <s v="BlueDart"/>
    <x v="0"/>
    <x v="0"/>
    <n v="1"/>
    <x v="0"/>
    <x v="2"/>
  </r>
  <r>
    <s v="ORD121"/>
    <d v="2026-07-08T00:00:00"/>
    <s v="C012"/>
    <s v="Keerthana"/>
    <x v="6"/>
    <s v="P018"/>
    <s v="Office File"/>
    <x v="0"/>
    <n v="3"/>
    <n v="120"/>
    <n v="360"/>
    <x v="1"/>
    <s v="Paid"/>
    <x v="0"/>
    <d v="2026-07-14T00:00:00"/>
    <d v="2026-07-14T00:00:00"/>
    <s v="Ecom Express"/>
    <x v="0"/>
    <x v="0"/>
    <n v="0"/>
    <x v="2"/>
    <x v="2"/>
  </r>
  <r>
    <s v="ORD122"/>
    <d v="2026-07-07T00:00:00"/>
    <s v="C003"/>
    <s v="Rahul"/>
    <x v="2"/>
    <s v="P007"/>
    <s v="Smart Watch"/>
    <x v="2"/>
    <n v="1"/>
    <n v="2500"/>
    <n v="2500"/>
    <x v="3"/>
    <s v="Paid"/>
    <x v="0"/>
    <d v="2026-07-12T00:00:00"/>
    <d v="2026-07-12T00:00:00"/>
    <s v="Delhivery"/>
    <x v="0"/>
    <x v="0"/>
    <n v="0"/>
    <x v="2"/>
    <x v="2"/>
  </r>
  <r>
    <s v="ORD123"/>
    <d v="2026-09-14T00:00:00"/>
    <s v="C003"/>
    <s v="Rahul"/>
    <x v="2"/>
    <s v="P018"/>
    <s v="Office File"/>
    <x v="0"/>
    <n v="2"/>
    <n v="120"/>
    <n v="240"/>
    <x v="0"/>
    <s v="Paid"/>
    <x v="0"/>
    <d v="2026-09-18T00:00:00"/>
    <d v="2026-09-21T00:00:00"/>
    <s v="Delhivery"/>
    <x v="0"/>
    <x v="0"/>
    <n v="3"/>
    <x v="3"/>
    <x v="0"/>
  </r>
  <r>
    <s v="ORD124"/>
    <d v="2026-07-19T00:00:00"/>
    <s v="C020"/>
    <s v="Fathima"/>
    <x v="7"/>
    <s v="P001"/>
    <s v="Wireless Mouse"/>
    <x v="2"/>
    <n v="3"/>
    <n v="650"/>
    <n v="1950"/>
    <x v="2"/>
    <s v="Paid"/>
    <x v="0"/>
    <d v="2026-07-23T00:00:00"/>
    <d v="2026-07-24T00:00:00"/>
    <s v="BlueDart"/>
    <x v="0"/>
    <x v="0"/>
    <n v="1"/>
    <x v="0"/>
    <x v="2"/>
  </r>
  <r>
    <s v="ORD125"/>
    <d v="2026-08-15T00:00:00"/>
    <s v="C001"/>
    <s v="Arun Kumar"/>
    <x v="5"/>
    <s v="P005"/>
    <s v="USB Cable"/>
    <x v="2"/>
    <n v="1"/>
    <n v="350"/>
    <n v="350"/>
    <x v="0"/>
    <s v="Pending"/>
    <x v="5"/>
    <d v="2026-08-19T00:00:00"/>
    <m/>
    <s v="BlueDart"/>
    <x v="0"/>
    <x v="0"/>
    <s v=""/>
    <x v="1"/>
    <x v="1"/>
  </r>
  <r>
    <s v="ORD126"/>
    <d v="2026-07-17T00:00:00"/>
    <s v="C006"/>
    <s v="Meena"/>
    <x v="7"/>
    <s v="P009"/>
    <s v="T-Shirt"/>
    <x v="3"/>
    <n v="1"/>
    <n v="700"/>
    <n v="700"/>
    <x v="1"/>
    <s v="Pending"/>
    <x v="3"/>
    <d v="2026-07-23T00:00:00"/>
    <m/>
    <s v="BlueDart"/>
    <x v="0"/>
    <x v="0"/>
    <s v=""/>
    <x v="1"/>
    <x v="2"/>
  </r>
  <r>
    <s v="ORD127"/>
    <d v="2026-09-04T00:00:00"/>
    <s v="C016"/>
    <s v="Pavithra"/>
    <x v="4"/>
    <s v="P015"/>
    <s v="Cookware Set"/>
    <x v="1"/>
    <n v="3"/>
    <n v="3200"/>
    <n v="9600"/>
    <x v="3"/>
    <s v="Paid"/>
    <x v="0"/>
    <d v="2026-09-11T00:00:00"/>
    <d v="2026-09-10T00:00:00"/>
    <s v="Delhivery"/>
    <x v="0"/>
    <x v="0"/>
    <n v="-1"/>
    <x v="2"/>
    <x v="0"/>
  </r>
  <r>
    <s v="ORD128"/>
    <d v="2026-08-28T00:00:00"/>
    <s v="C020"/>
    <s v="Fathima"/>
    <x v="7"/>
    <s v="P002"/>
    <s v="Keyboard"/>
    <x v="2"/>
    <n v="3"/>
    <n v="850"/>
    <n v="2550"/>
    <x v="4"/>
    <s v="Paid"/>
    <x v="0"/>
    <d v="2026-08-31T00:00:00"/>
    <d v="2026-08-30T00:00:00"/>
    <s v="Ecom Express"/>
    <x v="0"/>
    <x v="0"/>
    <n v="-1"/>
    <x v="2"/>
    <x v="1"/>
  </r>
  <r>
    <s v="ORD129"/>
    <d v="2026-07-10T00:00:00"/>
    <s v="C004"/>
    <s v="Divya"/>
    <x v="3"/>
    <s v="P016"/>
    <s v="Storage Box"/>
    <x v="1"/>
    <n v="4"/>
    <n v="750"/>
    <n v="3000"/>
    <x v="2"/>
    <s v="Pending"/>
    <x v="0"/>
    <d v="2026-07-13T00:00:00"/>
    <d v="2026-07-13T00:00:00"/>
    <s v="BlueDart"/>
    <x v="0"/>
    <x v="0"/>
    <n v="0"/>
    <x v="2"/>
    <x v="2"/>
  </r>
  <r>
    <s v="ORD130"/>
    <d v="2026-08-18T00:00:00"/>
    <s v="C005"/>
    <s v="Karthik"/>
    <x v="6"/>
    <s v="P009"/>
    <s v="T-Shirt"/>
    <x v="3"/>
    <n v="3"/>
    <n v="700"/>
    <n v="2100"/>
    <x v="4"/>
    <s v="Paid"/>
    <x v="0"/>
    <d v="2026-08-25T00:00:00"/>
    <d v="2026-08-26T00:00:00"/>
    <s v="Ecom Express"/>
    <x v="0"/>
    <x v="0"/>
    <n v="1"/>
    <x v="0"/>
    <x v="1"/>
  </r>
  <r>
    <s v="ORD131"/>
    <d v="2026-08-25T00:00:00"/>
    <s v="C004"/>
    <s v="Divya"/>
    <x v="3"/>
    <s v="P004"/>
    <s v="Headphones"/>
    <x v="2"/>
    <n v="2"/>
    <n v="1800"/>
    <n v="3600"/>
    <x v="0"/>
    <s v="Paid"/>
    <x v="0"/>
    <d v="2026-08-31T00:00:00"/>
    <d v="2026-08-31T00:00:00"/>
    <s v="Ecom Express"/>
    <x v="0"/>
    <x v="0"/>
    <n v="0"/>
    <x v="2"/>
    <x v="1"/>
  </r>
  <r>
    <s v="ORD132"/>
    <d v="2026-08-10T00:00:00"/>
    <s v="C013"/>
    <s v="Dinesh"/>
    <x v="7"/>
    <s v="P014"/>
    <s v="Water Bottle"/>
    <x v="1"/>
    <n v="1"/>
    <n v="500"/>
    <n v="500"/>
    <x v="0"/>
    <s v="Pending"/>
    <x v="0"/>
    <d v="2026-08-16T00:00:00"/>
    <d v="2026-08-16T00:00:00"/>
    <s v="DTDC"/>
    <x v="0"/>
    <x v="0"/>
    <n v="0"/>
    <x v="2"/>
    <x v="1"/>
  </r>
  <r>
    <s v="ORD133"/>
    <d v="2026-07-12T00:00:00"/>
    <s v="C005"/>
    <s v="Karthik"/>
    <x v="6"/>
    <s v="P016"/>
    <s v="Storage Box"/>
    <x v="1"/>
    <n v="1"/>
    <n v="750"/>
    <n v="750"/>
    <x v="1"/>
    <s v="Paid"/>
    <x v="0"/>
    <d v="2026-07-15T00:00:00"/>
    <d v="2026-07-14T00:00:00"/>
    <s v="DTDC"/>
    <x v="0"/>
    <x v="0"/>
    <n v="-1"/>
    <x v="2"/>
    <x v="2"/>
  </r>
  <r>
    <s v="ORD134"/>
    <d v="2026-09-14T00:00:00"/>
    <s v="C005"/>
    <s v="Karthik"/>
    <x v="6"/>
    <s v="P018"/>
    <s v="Office File"/>
    <x v="0"/>
    <n v="1"/>
    <n v="120"/>
    <n v="120"/>
    <x v="0"/>
    <s v="Pending"/>
    <x v="3"/>
    <d v="2026-09-21T00:00:00"/>
    <m/>
    <s v="BlueDart"/>
    <x v="0"/>
    <x v="0"/>
    <s v=""/>
    <x v="1"/>
    <x v="0"/>
  </r>
  <r>
    <s v="ORD135"/>
    <d v="2026-07-07T00:00:00"/>
    <s v="C014"/>
    <s v="Lavanya"/>
    <x v="0"/>
    <s v="P012"/>
    <s v="Sports Shoes"/>
    <x v="3"/>
    <n v="4"/>
    <n v="2200"/>
    <n v="8800"/>
    <x v="0"/>
    <s v="Paid"/>
    <x v="2"/>
    <d v="2026-07-12T00:00:00"/>
    <d v="2026-07-13T00:00:00"/>
    <s v="DTDC"/>
    <x v="3"/>
    <x v="0"/>
    <n v="1"/>
    <x v="0"/>
    <x v="2"/>
  </r>
  <r>
    <s v="ORD136"/>
    <d v="2026-07-20T00:00:00"/>
    <s v="C019"/>
    <s v="Prakash"/>
    <x v="6"/>
    <s v="P017"/>
    <s v="Notebook"/>
    <x v="0"/>
    <n v="2"/>
    <n v="180"/>
    <n v="360"/>
    <x v="1"/>
    <s v="Paid"/>
    <x v="5"/>
    <d v="2026-07-26T00:00:00"/>
    <m/>
    <s v="DTDC"/>
    <x v="0"/>
    <x v="0"/>
    <s v=""/>
    <x v="1"/>
    <x v="2"/>
  </r>
  <r>
    <s v="ORD137"/>
    <d v="2026-08-05T00:00:00"/>
    <s v="C018"/>
    <s v="Harini"/>
    <x v="2"/>
    <s v="P012"/>
    <s v="Sports Shoes"/>
    <x v="3"/>
    <n v="1"/>
    <n v="2200"/>
    <n v="2200"/>
    <x v="3"/>
    <s v="Paid"/>
    <x v="0"/>
    <d v="2026-08-12T00:00:00"/>
    <d v="2026-08-12T00:00:00"/>
    <s v="BlueDart"/>
    <x v="0"/>
    <x v="0"/>
    <n v="0"/>
    <x v="2"/>
    <x v="1"/>
  </r>
  <r>
    <s v="ORD138"/>
    <d v="2026-07-24T00:00:00"/>
    <s v="C020"/>
    <s v="Fathima"/>
    <x v="7"/>
    <s v="P009"/>
    <s v="T-Shirt"/>
    <x v="3"/>
    <n v="1"/>
    <n v="700"/>
    <n v="700"/>
    <x v="0"/>
    <s v="Refunded"/>
    <x v="1"/>
    <d v="2026-07-29T00:00:00"/>
    <m/>
    <s v="DTDC"/>
    <x v="0"/>
    <x v="5"/>
    <s v=""/>
    <x v="1"/>
    <x v="2"/>
  </r>
  <r>
    <s v="ORD139"/>
    <d v="2026-09-11T00:00:00"/>
    <s v="C001"/>
    <s v="Arun Kumar"/>
    <x v="5"/>
    <s v="P006"/>
    <s v="Power Bank"/>
    <x v="2"/>
    <n v="2"/>
    <n v="1200"/>
    <n v="2400"/>
    <x v="2"/>
    <s v="Paid"/>
    <x v="6"/>
    <d v="2026-09-17T00:00:00"/>
    <m/>
    <s v="BlueDart"/>
    <x v="0"/>
    <x v="0"/>
    <s v=""/>
    <x v="1"/>
    <x v="0"/>
  </r>
  <r>
    <s v="ORD140"/>
    <d v="2026-08-18T00:00:00"/>
    <s v="C003"/>
    <s v="Rahul"/>
    <x v="2"/>
    <s v="P017"/>
    <s v="Notebook"/>
    <x v="0"/>
    <n v="2"/>
    <n v="180"/>
    <n v="360"/>
    <x v="2"/>
    <s v="Paid"/>
    <x v="0"/>
    <d v="2026-08-24T00:00:00"/>
    <d v="2026-08-25T00:00:00"/>
    <s v="DTDC"/>
    <x v="0"/>
    <x v="0"/>
    <n v="1"/>
    <x v="0"/>
    <x v="1"/>
  </r>
  <r>
    <s v="ORD141"/>
    <d v="2026-07-07T00:00:00"/>
    <s v="C010"/>
    <s v="Asha"/>
    <x v="4"/>
    <s v="P011"/>
    <s v="Backpack"/>
    <x v="3"/>
    <n v="1"/>
    <n v="1250"/>
    <n v="1250"/>
    <x v="1"/>
    <s v="Pending"/>
    <x v="0"/>
    <d v="2026-07-11T00:00:00"/>
    <d v="2026-07-11T00:00:00"/>
    <s v="BlueDart"/>
    <x v="0"/>
    <x v="0"/>
    <n v="0"/>
    <x v="2"/>
    <x v="2"/>
  </r>
  <r>
    <s v="ORD142"/>
    <d v="2026-09-01T00:00:00"/>
    <s v="C009"/>
    <s v="Vignesh"/>
    <x v="5"/>
    <s v="P015"/>
    <s v="Cookware Set"/>
    <x v="1"/>
    <n v="4"/>
    <n v="3200"/>
    <n v="12800"/>
    <x v="4"/>
    <s v="Paid"/>
    <x v="6"/>
    <d v="2026-09-08T00:00:00"/>
    <m/>
    <s v="DTDC"/>
    <x v="0"/>
    <x v="0"/>
    <s v=""/>
    <x v="1"/>
    <x v="0"/>
  </r>
  <r>
    <s v="ORD143"/>
    <d v="2026-08-14T00:00:00"/>
    <s v="C007"/>
    <s v="Suresh"/>
    <x v="0"/>
    <s v="P017"/>
    <s v="Notebook"/>
    <x v="0"/>
    <n v="1"/>
    <n v="180"/>
    <n v="180"/>
    <x v="3"/>
    <s v="Paid"/>
    <x v="0"/>
    <d v="2026-08-20T00:00:00"/>
    <d v="2026-08-19T00:00:00"/>
    <s v="Ecom Express"/>
    <x v="0"/>
    <x v="0"/>
    <n v="-1"/>
    <x v="2"/>
    <x v="1"/>
  </r>
  <r>
    <s v="ORD144"/>
    <d v="2026-07-29T00:00:00"/>
    <s v="C017"/>
    <s v="Vijay"/>
    <x v="1"/>
    <s v="P010"/>
    <s v="Jeans"/>
    <x v="3"/>
    <n v="1"/>
    <n v="1400"/>
    <n v="1400"/>
    <x v="1"/>
    <s v="Paid"/>
    <x v="0"/>
    <d v="2026-08-04T00:00:00"/>
    <d v="2026-08-05T00:00:00"/>
    <s v="Delhivery"/>
    <x v="0"/>
    <x v="0"/>
    <n v="1"/>
    <x v="0"/>
    <x v="2"/>
  </r>
  <r>
    <s v="ORD145"/>
    <d v="2026-08-02T00:00:00"/>
    <s v="C010"/>
    <s v="Asha"/>
    <x v="4"/>
    <s v="P007"/>
    <s v="Smart Watch"/>
    <x v="2"/>
    <n v="2"/>
    <n v="2500"/>
    <n v="5000"/>
    <x v="1"/>
    <s v="Paid"/>
    <x v="0"/>
    <d v="2026-08-07T00:00:00"/>
    <d v="2026-08-07T00:00:00"/>
    <s v="Ecom Express"/>
    <x v="0"/>
    <x v="0"/>
    <n v="0"/>
    <x v="2"/>
    <x v="1"/>
  </r>
  <r>
    <s v="ORD146"/>
    <d v="2026-08-18T00:00:00"/>
    <s v="C014"/>
    <s v="Lavanya"/>
    <x v="0"/>
    <s v="P006"/>
    <s v="Power Bank"/>
    <x v="2"/>
    <n v="2"/>
    <n v="1200"/>
    <n v="2400"/>
    <x v="3"/>
    <s v="Paid"/>
    <x v="0"/>
    <d v="2026-08-25T00:00:00"/>
    <d v="2026-08-27T00:00:00"/>
    <s v="DTDC"/>
    <x v="0"/>
    <x v="0"/>
    <n v="2"/>
    <x v="0"/>
    <x v="1"/>
  </r>
  <r>
    <s v="ORD147"/>
    <d v="2026-08-25T00:00:00"/>
    <s v="C003"/>
    <s v="Rahul"/>
    <x v="2"/>
    <s v="P013"/>
    <s v="Bedsheet"/>
    <x v="1"/>
    <n v="1"/>
    <n v="950"/>
    <n v="950"/>
    <x v="1"/>
    <s v="Paid"/>
    <x v="6"/>
    <d v="2026-08-28T00:00:00"/>
    <m/>
    <s v="DTDC"/>
    <x v="0"/>
    <x v="0"/>
    <s v=""/>
    <x v="1"/>
    <x v="1"/>
  </r>
  <r>
    <s v="ORD148"/>
    <d v="2026-09-29T00:00:00"/>
    <s v="C019"/>
    <s v="Prakash"/>
    <x v="6"/>
    <s v="P014"/>
    <s v="Water Bottle"/>
    <x v="1"/>
    <n v="4"/>
    <n v="500"/>
    <n v="2000"/>
    <x v="4"/>
    <s v="Paid"/>
    <x v="0"/>
    <d v="2026-10-05T00:00:00"/>
    <d v="2026-10-05T00:00:00"/>
    <s v="BlueDart"/>
    <x v="0"/>
    <x v="0"/>
    <n v="0"/>
    <x v="2"/>
    <x v="0"/>
  </r>
  <r>
    <s v="ORD149"/>
    <d v="2026-09-27T00:00:00"/>
    <s v="C011"/>
    <s v="Manoj"/>
    <x v="2"/>
    <s v="P006"/>
    <s v="Power Bank"/>
    <x v="2"/>
    <n v="4"/>
    <n v="1200"/>
    <n v="4800"/>
    <x v="1"/>
    <s v="Paid"/>
    <x v="0"/>
    <d v="2026-10-02T00:00:00"/>
    <d v="2026-10-01T00:00:00"/>
    <s v="Delhivery"/>
    <x v="0"/>
    <x v="0"/>
    <n v="-1"/>
    <x v="2"/>
    <x v="0"/>
  </r>
  <r>
    <s v="ORD150"/>
    <d v="2026-09-06T00:00:00"/>
    <s v="C014"/>
    <s v="Lavanya"/>
    <x v="0"/>
    <s v="P019"/>
    <s v="Desk Organizer"/>
    <x v="0"/>
    <n v="4"/>
    <n v="450"/>
    <n v="1800"/>
    <x v="0"/>
    <s v="Paid"/>
    <x v="0"/>
    <d v="2026-09-09T00:00:00"/>
    <d v="2026-09-10T00:00:00"/>
    <s v="Delhivery"/>
    <x v="0"/>
    <x v="0"/>
    <n v="1"/>
    <x v="0"/>
    <x v="0"/>
  </r>
  <r>
    <s v="ORD151"/>
    <d v="2026-09-04T00:00:00"/>
    <s v="C011"/>
    <s v="Manoj"/>
    <x v="2"/>
    <s v="P006"/>
    <s v="Power Bank"/>
    <x v="2"/>
    <n v="1"/>
    <n v="1200"/>
    <n v="1200"/>
    <x v="3"/>
    <s v="Pending"/>
    <x v="3"/>
    <d v="2026-09-07T00:00:00"/>
    <m/>
    <s v="Delhivery"/>
    <x v="0"/>
    <x v="0"/>
    <s v=""/>
    <x v="1"/>
    <x v="0"/>
  </r>
  <r>
    <s v="ORD152"/>
    <d v="2026-07-31T00:00:00"/>
    <s v="C012"/>
    <s v="Keerthana"/>
    <x v="6"/>
    <s v="P012"/>
    <s v="Sports Shoes"/>
    <x v="3"/>
    <n v="2"/>
    <n v="2200"/>
    <n v="4400"/>
    <x v="0"/>
    <s v="Paid"/>
    <x v="3"/>
    <d v="2026-08-03T00:00:00"/>
    <m/>
    <s v="Delhivery"/>
    <x v="0"/>
    <x v="0"/>
    <s v=""/>
    <x v="1"/>
    <x v="2"/>
  </r>
  <r>
    <s v="ORD153"/>
    <d v="2026-09-22T00:00:00"/>
    <s v="C006"/>
    <s v="Meena"/>
    <x v="7"/>
    <s v="P020"/>
    <s v="Calculator"/>
    <x v="0"/>
    <n v="2"/>
    <n v="550"/>
    <n v="1100"/>
    <x v="4"/>
    <s v="Pending"/>
    <x v="0"/>
    <d v="2026-09-25T00:00:00"/>
    <d v="2026-09-25T00:00:00"/>
    <s v="Ecom Express"/>
    <x v="0"/>
    <x v="0"/>
    <n v="0"/>
    <x v="2"/>
    <x v="0"/>
  </r>
  <r>
    <s v="ORD154"/>
    <d v="2026-09-26T00:00:00"/>
    <s v="C019"/>
    <s v="Prakash"/>
    <x v="6"/>
    <s v="P019"/>
    <s v="Desk Organizer"/>
    <x v="0"/>
    <n v="4"/>
    <n v="450"/>
    <n v="1800"/>
    <x v="3"/>
    <s v="Pending"/>
    <x v="0"/>
    <d v="2026-10-03T00:00:00"/>
    <d v="2026-10-05T00:00:00"/>
    <s v="DTDC"/>
    <x v="0"/>
    <x v="0"/>
    <n v="2"/>
    <x v="0"/>
    <x v="0"/>
  </r>
  <r>
    <s v="ORD155"/>
    <d v="2026-07-09T00:00:00"/>
    <s v="C011"/>
    <s v="Manoj"/>
    <x v="2"/>
    <s v="P005"/>
    <s v="USB Cable"/>
    <x v="2"/>
    <n v="4"/>
    <n v="350"/>
    <n v="1400"/>
    <x v="0"/>
    <s v="Pending"/>
    <x v="0"/>
    <d v="2026-07-15T00:00:00"/>
    <d v="2026-07-16T00:00:00"/>
    <s v="DTDC"/>
    <x v="0"/>
    <x v="0"/>
    <n v="1"/>
    <x v="0"/>
    <x v="2"/>
  </r>
  <r>
    <s v="ORD156"/>
    <d v="2026-09-03T00:00:00"/>
    <s v="C019"/>
    <s v="Prakash"/>
    <x v="6"/>
    <s v="P002"/>
    <s v="Keyboard"/>
    <x v="2"/>
    <n v="3"/>
    <n v="850"/>
    <n v="2550"/>
    <x v="4"/>
    <s v="Paid"/>
    <x v="0"/>
    <d v="2026-09-06T00:00:00"/>
    <d v="2026-09-06T00:00:00"/>
    <s v="BlueDart"/>
    <x v="0"/>
    <x v="0"/>
    <n v="0"/>
    <x v="2"/>
    <x v="0"/>
  </r>
  <r>
    <s v="ORD157"/>
    <d v="2026-07-10T00:00:00"/>
    <s v="C002"/>
    <s v="Priya"/>
    <x v="4"/>
    <s v="P012"/>
    <s v="Sports Shoes"/>
    <x v="3"/>
    <n v="3"/>
    <n v="2200"/>
    <n v="6600"/>
    <x v="3"/>
    <s v="Paid"/>
    <x v="0"/>
    <d v="2026-07-13T00:00:00"/>
    <d v="2026-07-14T00:00:00"/>
    <s v="Ecom Express"/>
    <x v="0"/>
    <x v="0"/>
    <n v="1"/>
    <x v="0"/>
    <x v="2"/>
  </r>
  <r>
    <s v="ORD158"/>
    <d v="2026-08-27T00:00:00"/>
    <s v="C015"/>
    <s v="Santhosh"/>
    <x v="5"/>
    <s v="P019"/>
    <s v="Desk Organizer"/>
    <x v="0"/>
    <n v="1"/>
    <n v="450"/>
    <n v="450"/>
    <x v="0"/>
    <s v="Paid"/>
    <x v="0"/>
    <d v="2026-09-03T00:00:00"/>
    <d v="2026-09-05T00:00:00"/>
    <s v="Ecom Express"/>
    <x v="0"/>
    <x v="0"/>
    <n v="2"/>
    <x v="0"/>
    <x v="1"/>
  </r>
  <r>
    <s v="ORD159"/>
    <d v="2026-08-27T00:00:00"/>
    <s v="C017"/>
    <s v="Vijay"/>
    <x v="1"/>
    <s v="P005"/>
    <s v="USB Cable"/>
    <x v="2"/>
    <n v="1"/>
    <n v="350"/>
    <n v="350"/>
    <x v="1"/>
    <s v="Pending"/>
    <x v="1"/>
    <d v="2026-08-30T00:00:00"/>
    <m/>
    <s v="Delhivery"/>
    <x v="0"/>
    <x v="4"/>
    <s v=""/>
    <x v="1"/>
    <x v="1"/>
  </r>
  <r>
    <s v="ORD160"/>
    <d v="2026-09-06T00:00:00"/>
    <s v="C008"/>
    <s v="Nisha"/>
    <x v="1"/>
    <s v="P015"/>
    <s v="Cookware Set"/>
    <x v="1"/>
    <n v="4"/>
    <n v="3200"/>
    <n v="12800"/>
    <x v="2"/>
    <s v="Paid"/>
    <x v="2"/>
    <d v="2026-09-13T00:00:00"/>
    <d v="2026-09-14T00:00:00"/>
    <s v="DTDC"/>
    <x v="2"/>
    <x v="0"/>
    <n v="1"/>
    <x v="0"/>
    <x v="0"/>
  </r>
  <r>
    <s v="ORD161"/>
    <d v="2026-08-13T00:00:00"/>
    <s v="C010"/>
    <s v="Asha"/>
    <x v="4"/>
    <s v="P013"/>
    <s v="Bedsheet"/>
    <x v="1"/>
    <n v="4"/>
    <n v="950"/>
    <n v="3800"/>
    <x v="0"/>
    <s v="Pending"/>
    <x v="0"/>
    <d v="2026-08-20T00:00:00"/>
    <d v="2026-08-19T00:00:00"/>
    <s v="BlueDart"/>
    <x v="0"/>
    <x v="0"/>
    <n v="-1"/>
    <x v="2"/>
    <x v="1"/>
  </r>
  <r>
    <s v="ORD162"/>
    <d v="2026-08-06T00:00:00"/>
    <s v="C011"/>
    <s v="Manoj"/>
    <x v="2"/>
    <s v="P004"/>
    <s v="Headphones"/>
    <x v="2"/>
    <n v="4"/>
    <n v="1800"/>
    <n v="7200"/>
    <x v="3"/>
    <s v="Refunded"/>
    <x v="1"/>
    <d v="2026-08-11T00:00:00"/>
    <m/>
    <s v="Delhivery"/>
    <x v="0"/>
    <x v="5"/>
    <s v=""/>
    <x v="1"/>
    <x v="1"/>
  </r>
  <r>
    <s v="ORD163"/>
    <d v="2026-08-14T00:00:00"/>
    <s v="C003"/>
    <s v="Rahul"/>
    <x v="2"/>
    <s v="P019"/>
    <s v="Desk Organizer"/>
    <x v="0"/>
    <n v="2"/>
    <n v="450"/>
    <n v="900"/>
    <x v="4"/>
    <s v="Pending"/>
    <x v="0"/>
    <d v="2026-08-19T00:00:00"/>
    <d v="2026-08-21T00:00:00"/>
    <s v="Delhivery"/>
    <x v="0"/>
    <x v="0"/>
    <n v="2"/>
    <x v="0"/>
    <x v="1"/>
  </r>
  <r>
    <s v="ORD164"/>
    <d v="2026-09-10T00:00:00"/>
    <s v="C020"/>
    <s v="Fathima"/>
    <x v="7"/>
    <s v="P003"/>
    <s v="Bluetooth Speaker"/>
    <x v="2"/>
    <n v="3"/>
    <n v="1450"/>
    <n v="4350"/>
    <x v="0"/>
    <s v="Pending"/>
    <x v="4"/>
    <d v="2026-09-16T00:00:00"/>
    <m/>
    <s v="Delhivery"/>
    <x v="0"/>
    <x v="0"/>
    <s v=""/>
    <x v="1"/>
    <x v="0"/>
  </r>
  <r>
    <s v="ORD165"/>
    <d v="2026-09-04T00:00:00"/>
    <s v="C017"/>
    <s v="Vijay"/>
    <x v="1"/>
    <s v="P003"/>
    <s v="Bluetooth Speaker"/>
    <x v="2"/>
    <n v="4"/>
    <n v="1450"/>
    <n v="5800"/>
    <x v="0"/>
    <s v="Paid"/>
    <x v="0"/>
    <d v="2026-09-09T00:00:00"/>
    <d v="2026-09-08T00:00:00"/>
    <s v="Delhivery"/>
    <x v="0"/>
    <x v="0"/>
    <n v="-1"/>
    <x v="2"/>
    <x v="0"/>
  </r>
  <r>
    <s v="ORD166"/>
    <d v="2026-07-25T00:00:00"/>
    <s v="C007"/>
    <s v="Suresh"/>
    <x v="0"/>
    <s v="P011"/>
    <s v="Backpack"/>
    <x v="3"/>
    <n v="4"/>
    <n v="1250"/>
    <n v="5000"/>
    <x v="2"/>
    <s v="Failed"/>
    <x v="1"/>
    <d v="2026-07-29T00:00:00"/>
    <m/>
    <s v="BlueDart"/>
    <x v="0"/>
    <x v="5"/>
    <s v=""/>
    <x v="1"/>
    <x v="2"/>
  </r>
  <r>
    <s v="ORD167"/>
    <d v="2026-09-23T00:00:00"/>
    <s v="C004"/>
    <s v="Divya"/>
    <x v="3"/>
    <s v="P017"/>
    <s v="Notebook"/>
    <x v="0"/>
    <n v="1"/>
    <n v="180"/>
    <n v="180"/>
    <x v="2"/>
    <s v="Pending"/>
    <x v="0"/>
    <d v="2026-09-28T00:00:00"/>
    <d v="2026-10-01T00:00:00"/>
    <s v="Ecom Express"/>
    <x v="0"/>
    <x v="0"/>
    <n v="3"/>
    <x v="3"/>
    <x v="0"/>
  </r>
  <r>
    <s v="ORD168"/>
    <d v="2026-09-27T00:00:00"/>
    <s v="C005"/>
    <s v="Karthik"/>
    <x v="6"/>
    <s v="P006"/>
    <s v="Power Bank"/>
    <x v="2"/>
    <n v="2"/>
    <n v="1200"/>
    <n v="2400"/>
    <x v="4"/>
    <s v="Paid"/>
    <x v="0"/>
    <d v="2026-10-04T00:00:00"/>
    <d v="2026-10-07T00:00:00"/>
    <s v="BlueDart"/>
    <x v="0"/>
    <x v="0"/>
    <n v="3"/>
    <x v="3"/>
    <x v="0"/>
  </r>
  <r>
    <s v="ORD169"/>
    <d v="2026-08-26T00:00:00"/>
    <s v="C014"/>
    <s v="Lavanya"/>
    <x v="0"/>
    <s v="P012"/>
    <s v="Sports Shoes"/>
    <x v="3"/>
    <n v="2"/>
    <n v="2200"/>
    <n v="4400"/>
    <x v="4"/>
    <s v="Pending"/>
    <x v="0"/>
    <d v="2026-09-02T00:00:00"/>
    <d v="2026-09-02T00:00:00"/>
    <s v="Delhivery"/>
    <x v="0"/>
    <x v="0"/>
    <n v="0"/>
    <x v="2"/>
    <x v="1"/>
  </r>
  <r>
    <s v="ORD170"/>
    <d v="2026-08-30T00:00:00"/>
    <s v="C018"/>
    <s v="Harini"/>
    <x v="2"/>
    <s v="P008"/>
    <s v="Laptop Stand"/>
    <x v="2"/>
    <n v="3"/>
    <n v="1100"/>
    <n v="3300"/>
    <x v="3"/>
    <s v="Paid"/>
    <x v="6"/>
    <d v="2026-09-03T00:00:00"/>
    <m/>
    <s v="Ecom Express"/>
    <x v="0"/>
    <x v="0"/>
    <s v=""/>
    <x v="1"/>
    <x v="1"/>
  </r>
  <r>
    <s v="ORD171"/>
    <d v="2026-09-03T00:00:00"/>
    <s v="C015"/>
    <s v="Santhosh"/>
    <x v="5"/>
    <s v="P010"/>
    <s v="Jeans"/>
    <x v="3"/>
    <n v="4"/>
    <n v="1400"/>
    <n v="5600"/>
    <x v="2"/>
    <s v="Paid"/>
    <x v="0"/>
    <d v="2026-09-10T00:00:00"/>
    <d v="2026-09-11T00:00:00"/>
    <s v="Delhivery"/>
    <x v="0"/>
    <x v="0"/>
    <n v="1"/>
    <x v="0"/>
    <x v="0"/>
  </r>
  <r>
    <s v="ORD172"/>
    <d v="2026-08-17T00:00:00"/>
    <s v="C009"/>
    <s v="Vignesh"/>
    <x v="5"/>
    <s v="P002"/>
    <s v="Keyboard"/>
    <x v="2"/>
    <n v="4"/>
    <n v="850"/>
    <n v="3400"/>
    <x v="3"/>
    <s v="Pending"/>
    <x v="0"/>
    <d v="2026-08-24T00:00:00"/>
    <d v="2026-08-23T00:00:00"/>
    <s v="BlueDart"/>
    <x v="0"/>
    <x v="0"/>
    <n v="-1"/>
    <x v="2"/>
    <x v="1"/>
  </r>
  <r>
    <s v="ORD173"/>
    <d v="2026-08-04T00:00:00"/>
    <s v="C010"/>
    <s v="Asha"/>
    <x v="4"/>
    <s v="P003"/>
    <s v="Bluetooth Speaker"/>
    <x v="2"/>
    <n v="2"/>
    <n v="1450"/>
    <n v="2900"/>
    <x v="4"/>
    <s v="Paid"/>
    <x v="0"/>
    <d v="2026-08-10T00:00:00"/>
    <d v="2026-08-11T00:00:00"/>
    <s v="BlueDart"/>
    <x v="0"/>
    <x v="0"/>
    <n v="1"/>
    <x v="0"/>
    <x v="1"/>
  </r>
  <r>
    <s v="ORD174"/>
    <d v="2026-07-04T00:00:00"/>
    <s v="C008"/>
    <s v="Nisha"/>
    <x v="1"/>
    <s v="P015"/>
    <s v="Cookware Set"/>
    <x v="1"/>
    <n v="3"/>
    <n v="3200"/>
    <n v="9600"/>
    <x v="4"/>
    <s v="Paid"/>
    <x v="2"/>
    <d v="2026-07-10T00:00:00"/>
    <d v="2026-07-09T00:00:00"/>
    <s v="DTDC"/>
    <x v="1"/>
    <x v="0"/>
    <n v="-1"/>
    <x v="2"/>
    <x v="2"/>
  </r>
  <r>
    <s v="ORD175"/>
    <d v="2026-07-29T00:00:00"/>
    <s v="C013"/>
    <s v="Dinesh"/>
    <x v="7"/>
    <s v="P003"/>
    <s v="Bluetooth Speaker"/>
    <x v="2"/>
    <n v="3"/>
    <n v="1450"/>
    <n v="4350"/>
    <x v="1"/>
    <s v="Paid"/>
    <x v="4"/>
    <d v="2026-08-01T00:00:00"/>
    <m/>
    <s v="DTDC"/>
    <x v="0"/>
    <x v="0"/>
    <s v=""/>
    <x v="1"/>
    <x v="2"/>
  </r>
  <r>
    <s v="ORD176"/>
    <d v="2026-08-06T00:00:00"/>
    <s v="C005"/>
    <s v="Karthik"/>
    <x v="6"/>
    <s v="P005"/>
    <s v="USB Cable"/>
    <x v="2"/>
    <n v="1"/>
    <n v="350"/>
    <n v="350"/>
    <x v="4"/>
    <s v="Paid"/>
    <x v="0"/>
    <d v="2026-08-12T00:00:00"/>
    <d v="2026-08-14T00:00:00"/>
    <s v="Ecom Express"/>
    <x v="0"/>
    <x v="0"/>
    <n v="2"/>
    <x v="0"/>
    <x v="1"/>
  </r>
  <r>
    <s v="ORD177"/>
    <d v="2026-07-03T00:00:00"/>
    <s v="C020"/>
    <s v="Fathima"/>
    <x v="7"/>
    <s v="P001"/>
    <s v="Wireless Mouse"/>
    <x v="2"/>
    <n v="1"/>
    <n v="650"/>
    <n v="650"/>
    <x v="2"/>
    <s v="Paid"/>
    <x v="6"/>
    <d v="2026-07-08T00:00:00"/>
    <m/>
    <s v="Ecom Express"/>
    <x v="0"/>
    <x v="0"/>
    <s v=""/>
    <x v="1"/>
    <x v="2"/>
  </r>
  <r>
    <s v="ORD178"/>
    <d v="2026-08-08T00:00:00"/>
    <s v="C004"/>
    <s v="Divya"/>
    <x v="3"/>
    <s v="P010"/>
    <s v="Jeans"/>
    <x v="3"/>
    <n v="2"/>
    <n v="1400"/>
    <n v="2800"/>
    <x v="2"/>
    <s v="Paid"/>
    <x v="2"/>
    <d v="2026-08-11T00:00:00"/>
    <d v="2026-08-10T00:00:00"/>
    <s v="Ecom Express"/>
    <x v="4"/>
    <x v="0"/>
    <n v="-1"/>
    <x v="2"/>
    <x v="1"/>
  </r>
  <r>
    <s v="ORD179"/>
    <d v="2026-09-02T00:00:00"/>
    <s v="C015"/>
    <s v="Santhosh"/>
    <x v="5"/>
    <s v="P003"/>
    <s v="Bluetooth Speaker"/>
    <x v="2"/>
    <n v="1"/>
    <n v="1450"/>
    <n v="1450"/>
    <x v="1"/>
    <s v="Pending"/>
    <x v="6"/>
    <d v="2026-09-09T00:00:00"/>
    <m/>
    <s v="Delhivery"/>
    <x v="0"/>
    <x v="0"/>
    <s v=""/>
    <x v="1"/>
    <x v="0"/>
  </r>
  <r>
    <s v="ORD180"/>
    <d v="2026-07-01T00:00:00"/>
    <s v="C005"/>
    <s v="Karthik"/>
    <x v="6"/>
    <s v="P010"/>
    <s v="Jeans"/>
    <x v="3"/>
    <n v="4"/>
    <n v="1400"/>
    <n v="5600"/>
    <x v="2"/>
    <s v="Paid"/>
    <x v="3"/>
    <d v="2026-07-08T00:00:00"/>
    <m/>
    <s v="Ecom Express"/>
    <x v="0"/>
    <x v="0"/>
    <s v=""/>
    <x v="1"/>
    <x v="2"/>
  </r>
  <r>
    <s v="ORD181"/>
    <d v="2026-07-09T00:00:00"/>
    <s v="C006"/>
    <s v="Meena"/>
    <x v="7"/>
    <s v="P003"/>
    <s v="Bluetooth Speaker"/>
    <x v="2"/>
    <n v="3"/>
    <n v="1450"/>
    <n v="4350"/>
    <x v="3"/>
    <s v="Pending"/>
    <x v="0"/>
    <d v="2026-07-16T00:00:00"/>
    <d v="2026-07-17T00:00:00"/>
    <s v="BlueDart"/>
    <x v="0"/>
    <x v="0"/>
    <n v="1"/>
    <x v="0"/>
    <x v="2"/>
  </r>
  <r>
    <s v="ORD182"/>
    <d v="2026-09-20T00:00:00"/>
    <s v="C013"/>
    <s v="Dinesh"/>
    <x v="7"/>
    <s v="P016"/>
    <s v="Storage Box"/>
    <x v="1"/>
    <n v="1"/>
    <n v="750"/>
    <n v="750"/>
    <x v="1"/>
    <s v="Paid"/>
    <x v="0"/>
    <d v="2026-09-26T00:00:00"/>
    <d v="2026-09-26T00:00:00"/>
    <s v="DTDC"/>
    <x v="0"/>
    <x v="0"/>
    <n v="0"/>
    <x v="2"/>
    <x v="0"/>
  </r>
  <r>
    <s v="ORD183"/>
    <d v="2026-09-23T00:00:00"/>
    <s v="C003"/>
    <s v="Rahul"/>
    <x v="2"/>
    <s v="P012"/>
    <s v="Sports Shoes"/>
    <x v="3"/>
    <n v="2"/>
    <n v="2200"/>
    <n v="4400"/>
    <x v="0"/>
    <s v="Pending"/>
    <x v="0"/>
    <d v="2026-09-26T00:00:00"/>
    <d v="2026-09-29T00:00:00"/>
    <s v="Delhivery"/>
    <x v="0"/>
    <x v="0"/>
    <n v="3"/>
    <x v="3"/>
    <x v="0"/>
  </r>
  <r>
    <s v="ORD184"/>
    <d v="2026-09-21T00:00:00"/>
    <s v="C002"/>
    <s v="Priya"/>
    <x v="4"/>
    <s v="P012"/>
    <s v="Sports Shoes"/>
    <x v="3"/>
    <n v="3"/>
    <n v="2200"/>
    <n v="6600"/>
    <x v="4"/>
    <s v="Pending"/>
    <x v="0"/>
    <d v="2026-09-25T00:00:00"/>
    <d v="2026-09-28T00:00:00"/>
    <s v="Ecom Express"/>
    <x v="0"/>
    <x v="0"/>
    <n v="3"/>
    <x v="3"/>
    <x v="0"/>
  </r>
  <r>
    <s v="ORD185"/>
    <d v="2026-09-30T00:00:00"/>
    <s v="C006"/>
    <s v="Meena"/>
    <x v="7"/>
    <s v="P005"/>
    <s v="USB Cable"/>
    <x v="2"/>
    <n v="1"/>
    <n v="350"/>
    <n v="350"/>
    <x v="2"/>
    <s v="Paid"/>
    <x v="0"/>
    <d v="2026-10-06T00:00:00"/>
    <d v="2026-10-05T00:00:00"/>
    <s v="BlueDart"/>
    <x v="0"/>
    <x v="0"/>
    <n v="-1"/>
    <x v="2"/>
    <x v="0"/>
  </r>
  <r>
    <s v="ORD186"/>
    <d v="2026-08-09T00:00:00"/>
    <s v="C007"/>
    <s v="Suresh"/>
    <x v="0"/>
    <s v="P002"/>
    <s v="Keyboard"/>
    <x v="2"/>
    <n v="3"/>
    <n v="850"/>
    <n v="2550"/>
    <x v="4"/>
    <s v="Pending"/>
    <x v="0"/>
    <d v="2026-08-16T00:00:00"/>
    <d v="2026-08-17T00:00:00"/>
    <s v="DTDC"/>
    <x v="0"/>
    <x v="0"/>
    <n v="1"/>
    <x v="0"/>
    <x v="1"/>
  </r>
  <r>
    <s v="ORD187"/>
    <d v="2026-08-15T00:00:00"/>
    <s v="C002"/>
    <s v="Priya"/>
    <x v="4"/>
    <s v="P007"/>
    <s v="Smart Watch"/>
    <x v="2"/>
    <n v="3"/>
    <n v="2500"/>
    <n v="7500"/>
    <x v="0"/>
    <s v="Pending"/>
    <x v="6"/>
    <d v="2026-08-18T00:00:00"/>
    <m/>
    <s v="DTDC"/>
    <x v="0"/>
    <x v="0"/>
    <s v=""/>
    <x v="1"/>
    <x v="1"/>
  </r>
  <r>
    <s v="ORD188"/>
    <d v="2026-08-21T00:00:00"/>
    <s v="C004"/>
    <s v="Divya"/>
    <x v="3"/>
    <s v="P012"/>
    <s v="Sports Shoes"/>
    <x v="3"/>
    <n v="4"/>
    <n v="2200"/>
    <n v="8800"/>
    <x v="2"/>
    <s v="Paid"/>
    <x v="0"/>
    <d v="2026-08-27T00:00:00"/>
    <d v="2026-08-28T00:00:00"/>
    <s v="Ecom Express"/>
    <x v="0"/>
    <x v="0"/>
    <n v="1"/>
    <x v="0"/>
    <x v="1"/>
  </r>
  <r>
    <s v="ORD189"/>
    <d v="2026-07-11T00:00:00"/>
    <s v="C016"/>
    <s v="Pavithra"/>
    <x v="4"/>
    <s v="P012"/>
    <s v="Sports Shoes"/>
    <x v="3"/>
    <n v="3"/>
    <n v="2200"/>
    <n v="6600"/>
    <x v="4"/>
    <s v="Paid"/>
    <x v="3"/>
    <d v="2026-07-17T00:00:00"/>
    <m/>
    <s v="Delhivery"/>
    <x v="0"/>
    <x v="0"/>
    <s v=""/>
    <x v="1"/>
    <x v="2"/>
  </r>
  <r>
    <s v="ORD190"/>
    <d v="2026-07-14T00:00:00"/>
    <s v="C018"/>
    <s v="Harini"/>
    <x v="2"/>
    <s v="P010"/>
    <s v="Jeans"/>
    <x v="3"/>
    <n v="3"/>
    <n v="1400"/>
    <n v="4200"/>
    <x v="0"/>
    <s v="Pending"/>
    <x v="1"/>
    <d v="2026-07-17T00:00:00"/>
    <m/>
    <s v="DTDC"/>
    <x v="0"/>
    <x v="3"/>
    <s v=""/>
    <x v="1"/>
    <x v="2"/>
  </r>
  <r>
    <s v="ORD191"/>
    <d v="2026-09-27T00:00:00"/>
    <s v="C020"/>
    <s v="Fathima"/>
    <x v="7"/>
    <s v="P014"/>
    <s v="Water Bottle"/>
    <x v="1"/>
    <n v="2"/>
    <n v="500"/>
    <n v="1000"/>
    <x v="1"/>
    <s v="Paid"/>
    <x v="0"/>
    <d v="2026-10-03T00:00:00"/>
    <d v="2026-10-03T00:00:00"/>
    <s v="DTDC"/>
    <x v="0"/>
    <x v="0"/>
    <n v="0"/>
    <x v="2"/>
    <x v="0"/>
  </r>
  <r>
    <s v="ORD192"/>
    <d v="2026-09-20T00:00:00"/>
    <s v="C020"/>
    <s v="Fathima"/>
    <x v="7"/>
    <s v="P014"/>
    <s v="Water Bottle"/>
    <x v="1"/>
    <n v="3"/>
    <n v="500"/>
    <n v="1500"/>
    <x v="4"/>
    <s v="Paid"/>
    <x v="2"/>
    <d v="2026-09-23T00:00:00"/>
    <d v="2026-09-22T00:00:00"/>
    <s v="DTDC"/>
    <x v="4"/>
    <x v="0"/>
    <n v="-1"/>
    <x v="2"/>
    <x v="0"/>
  </r>
  <r>
    <s v="ORD193"/>
    <d v="2026-09-16T00:00:00"/>
    <s v="C006"/>
    <s v="Meena"/>
    <x v="7"/>
    <s v="P001"/>
    <s v="Wireless Mouse"/>
    <x v="2"/>
    <n v="2"/>
    <n v="650"/>
    <n v="1300"/>
    <x v="1"/>
    <s v="Paid"/>
    <x v="0"/>
    <d v="2026-09-22T00:00:00"/>
    <d v="2026-09-21T00:00:00"/>
    <s v="Delhivery"/>
    <x v="0"/>
    <x v="0"/>
    <n v="-1"/>
    <x v="2"/>
    <x v="0"/>
  </r>
  <r>
    <s v="ORD194"/>
    <d v="2026-09-11T00:00:00"/>
    <s v="C012"/>
    <s v="Keerthana"/>
    <x v="6"/>
    <s v="P012"/>
    <s v="Sports Shoes"/>
    <x v="3"/>
    <n v="4"/>
    <n v="2200"/>
    <n v="8800"/>
    <x v="4"/>
    <s v="Paid"/>
    <x v="0"/>
    <d v="2026-09-14T00:00:00"/>
    <d v="2026-09-15T00:00:00"/>
    <s v="DTDC"/>
    <x v="0"/>
    <x v="0"/>
    <n v="1"/>
    <x v="0"/>
    <x v="0"/>
  </r>
  <r>
    <s v="ORD195"/>
    <d v="2026-09-12T00:00:00"/>
    <s v="C012"/>
    <s v="Keerthana"/>
    <x v="6"/>
    <s v="P015"/>
    <s v="Cookware Set"/>
    <x v="1"/>
    <n v="1"/>
    <n v="3200"/>
    <n v="3200"/>
    <x v="4"/>
    <s v="Paid"/>
    <x v="0"/>
    <d v="2026-09-16T00:00:00"/>
    <d v="2026-09-17T00:00:00"/>
    <s v="DTDC"/>
    <x v="0"/>
    <x v="0"/>
    <n v="1"/>
    <x v="0"/>
    <x v="0"/>
  </r>
  <r>
    <s v="ORD196"/>
    <d v="2026-07-04T00:00:00"/>
    <s v="C009"/>
    <s v="Vignesh"/>
    <x v="5"/>
    <s v="P008"/>
    <s v="Laptop Stand"/>
    <x v="2"/>
    <n v="1"/>
    <n v="1100"/>
    <n v="1100"/>
    <x v="4"/>
    <s v="Pending"/>
    <x v="0"/>
    <d v="2026-07-08T00:00:00"/>
    <d v="2026-07-09T00:00:00"/>
    <s v="BlueDart"/>
    <x v="0"/>
    <x v="0"/>
    <n v="1"/>
    <x v="0"/>
    <x v="2"/>
  </r>
  <r>
    <s v="ORD197"/>
    <d v="2026-07-28T00:00:00"/>
    <s v="C009"/>
    <s v="Vignesh"/>
    <x v="5"/>
    <s v="P009"/>
    <s v="T-Shirt"/>
    <x v="3"/>
    <n v="4"/>
    <n v="700"/>
    <n v="2800"/>
    <x v="4"/>
    <s v="Paid"/>
    <x v="2"/>
    <d v="2026-08-04T00:00:00"/>
    <d v="2026-08-04T00:00:00"/>
    <s v="Delhivery"/>
    <x v="3"/>
    <x v="0"/>
    <n v="0"/>
    <x v="2"/>
    <x v="2"/>
  </r>
  <r>
    <s v="ORD198"/>
    <d v="2026-07-23T00:00:00"/>
    <s v="C005"/>
    <s v="Karthik"/>
    <x v="6"/>
    <s v="P003"/>
    <s v="Bluetooth Speaker"/>
    <x v="2"/>
    <n v="4"/>
    <n v="1450"/>
    <n v="5800"/>
    <x v="0"/>
    <s v="Pending"/>
    <x v="0"/>
    <d v="2026-07-29T00:00:00"/>
    <d v="2026-07-28T00:00:00"/>
    <s v="DTDC"/>
    <x v="0"/>
    <x v="0"/>
    <n v="-1"/>
    <x v="2"/>
    <x v="2"/>
  </r>
  <r>
    <s v="ORD199"/>
    <d v="2026-08-08T00:00:00"/>
    <s v="C003"/>
    <s v="Rahul"/>
    <x v="2"/>
    <s v="P018"/>
    <s v="Office File"/>
    <x v="0"/>
    <n v="3"/>
    <n v="120"/>
    <n v="360"/>
    <x v="2"/>
    <s v="Pending"/>
    <x v="0"/>
    <d v="2026-08-12T00:00:00"/>
    <d v="2026-08-14T00:00:00"/>
    <s v="DTDC"/>
    <x v="0"/>
    <x v="0"/>
    <n v="2"/>
    <x v="0"/>
    <x v="1"/>
  </r>
  <r>
    <s v="ORD200"/>
    <d v="2026-07-26T00:00:00"/>
    <s v="C017"/>
    <s v="Vijay"/>
    <x v="1"/>
    <s v="P008"/>
    <s v="Laptop Stand"/>
    <x v="2"/>
    <n v="1"/>
    <n v="1100"/>
    <n v="1100"/>
    <x v="4"/>
    <s v="Paid"/>
    <x v="5"/>
    <d v="2026-07-30T00:00:00"/>
    <d v="2026-08-02T00:00:00"/>
    <s v="BlueDart"/>
    <x v="0"/>
    <x v="0"/>
    <n v="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19B453-D440-4D54-8CF0-6A9675EFE4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2">
    <pivotField showAll="0"/>
    <pivotField numFmtId="14" showAll="0"/>
    <pivotField showAll="0"/>
    <pivotField showAll="0"/>
    <pivotField showAll="0"/>
    <pivotField showAll="0"/>
    <pivotField showAll="0"/>
    <pivotField axis="axisRow" showAll="0">
      <items count="5">
        <item x="2"/>
        <item x="3"/>
        <item x="1"/>
        <item x="0"/>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items count="4">
        <item x="2"/>
        <item x="1"/>
        <item x="0"/>
        <item t="default"/>
      </items>
    </pivotField>
  </pivotFields>
  <rowFields count="1">
    <field x="7"/>
  </rowFields>
  <rowItems count="5">
    <i>
      <x/>
    </i>
    <i>
      <x v="1"/>
    </i>
    <i>
      <x v="2"/>
    </i>
    <i>
      <x v="3"/>
    </i>
    <i t="grand">
      <x/>
    </i>
  </rowItems>
  <colItems count="1">
    <i/>
  </colItems>
  <dataFields count="1">
    <dataField name="Sum of Total_Amount"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9C377-A589-4B6D-81E6-D5F49E632D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22">
    <pivotField dataField="1" showAll="0"/>
    <pivotField numFmtId="14" showAll="0"/>
    <pivotField showAll="0"/>
    <pivotField showAll="0"/>
    <pivotField axis="axisRow" showAll="0">
      <items count="10">
        <item x="5"/>
        <item x="2"/>
        <item x="1"/>
        <item m="1" x="8"/>
        <item x="6"/>
        <item x="0"/>
        <item x="7"/>
        <item x="3"/>
        <item x="4"/>
        <item t="default"/>
      </items>
    </pivotField>
    <pivotField showAll="0"/>
    <pivotField showAll="0"/>
    <pivotField showAll="0">
      <items count="5">
        <item x="2"/>
        <item x="3"/>
        <item x="1"/>
        <item x="0"/>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4">
        <item x="2"/>
        <item x="1"/>
        <item x="0"/>
        <item t="default"/>
      </items>
    </pivotField>
  </pivotFields>
  <rowFields count="1">
    <field x="4"/>
  </rowFields>
  <rowItems count="9">
    <i>
      <x/>
    </i>
    <i>
      <x v="1"/>
    </i>
    <i>
      <x v="2"/>
    </i>
    <i>
      <x v="4"/>
    </i>
    <i>
      <x v="5"/>
    </i>
    <i>
      <x v="6"/>
    </i>
    <i>
      <x v="7"/>
    </i>
    <i>
      <x v="8"/>
    </i>
    <i t="grand">
      <x/>
    </i>
  </rowItems>
  <colItems count="1">
    <i/>
  </colItems>
  <dataFields count="1">
    <dataField name="Count of Order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DE4F3B-AC68-4229-B372-FBC5068916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2">
    <pivotField dataField="1" showAll="0"/>
    <pivotField numFmtId="14" showAll="0"/>
    <pivotField showAll="0"/>
    <pivotField showAll="0"/>
    <pivotField showAll="0"/>
    <pivotField showAll="0"/>
    <pivotField showAll="0"/>
    <pivotField showAll="0">
      <items count="5">
        <item x="2"/>
        <item x="3"/>
        <item x="1"/>
        <item x="0"/>
        <item t="default"/>
      </items>
    </pivotField>
    <pivotField showAll="0"/>
    <pivotField showAll="0"/>
    <pivotField showAll="0"/>
    <pivotField axis="axisRow" showAll="0">
      <items count="6">
        <item x="4"/>
        <item x="2"/>
        <item x="0"/>
        <item x="3"/>
        <item x="1"/>
        <item t="default"/>
      </items>
    </pivotField>
    <pivotField showAll="0"/>
    <pivotField showAll="0"/>
    <pivotField numFmtId="14" showAll="0"/>
    <pivotField showAll="0"/>
    <pivotField showAll="0"/>
    <pivotField showAll="0"/>
    <pivotField showAll="0"/>
    <pivotField showAll="0"/>
    <pivotField showAll="0"/>
    <pivotField showAll="0">
      <items count="4">
        <item x="2"/>
        <item x="1"/>
        <item x="0"/>
        <item t="default"/>
      </items>
    </pivotField>
  </pivotFields>
  <rowFields count="1">
    <field x="11"/>
  </rowFields>
  <rowItems count="6">
    <i>
      <x/>
    </i>
    <i>
      <x v="1"/>
    </i>
    <i>
      <x v="2"/>
    </i>
    <i>
      <x v="3"/>
    </i>
    <i>
      <x v="4"/>
    </i>
    <i t="grand">
      <x/>
    </i>
  </rowItems>
  <colItems count="1">
    <i/>
  </colItems>
  <dataFields count="1">
    <dataField name="Count of Order_ID" fld="0" subtotal="count" baseField="0" baseItem="0"/>
  </dataFields>
  <chartFormats count="6">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11" count="1" selected="0">
            <x v="0"/>
          </reference>
        </references>
      </pivotArea>
    </chartFormat>
    <chartFormat chart="2" format="15">
      <pivotArea type="data" outline="0" fieldPosition="0">
        <references count="2">
          <reference field="4294967294" count="1" selected="0">
            <x v="0"/>
          </reference>
          <reference field="11" count="1" selected="0">
            <x v="1"/>
          </reference>
        </references>
      </pivotArea>
    </chartFormat>
    <chartFormat chart="2" format="16">
      <pivotArea type="data" outline="0" fieldPosition="0">
        <references count="2">
          <reference field="4294967294" count="1" selected="0">
            <x v="0"/>
          </reference>
          <reference field="11" count="1" selected="0">
            <x v="2"/>
          </reference>
        </references>
      </pivotArea>
    </chartFormat>
    <chartFormat chart="2" format="17">
      <pivotArea type="data" outline="0" fieldPosition="0">
        <references count="2">
          <reference field="4294967294" count="1" selected="0">
            <x v="0"/>
          </reference>
          <reference field="11" count="1" selected="0">
            <x v="3"/>
          </reference>
        </references>
      </pivotArea>
    </chartFormat>
    <chartFormat chart="2" format="18">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896F3E-A5ED-48F3-807E-ABDF61BC58E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2">
    <pivotField dataField="1" showAll="0"/>
    <pivotField numFmtId="14"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items count="6">
        <item x="3"/>
        <item x="1"/>
        <item x="2"/>
        <item x="0"/>
        <item m="1" x="4"/>
        <item t="default"/>
      </items>
    </pivotField>
    <pivotField showAll="0">
      <items count="4">
        <item x="2"/>
        <item x="1"/>
        <item x="0"/>
        <item t="default"/>
      </items>
    </pivotField>
  </pivotFields>
  <rowFields count="1">
    <field x="20"/>
  </rowFields>
  <rowItems count="5">
    <i>
      <x/>
    </i>
    <i>
      <x v="1"/>
    </i>
    <i>
      <x v="2"/>
    </i>
    <i>
      <x v="3"/>
    </i>
    <i t="grand">
      <x/>
    </i>
  </rowItems>
  <colItems count="1">
    <i/>
  </colItems>
  <dataFields count="1">
    <dataField name="Count of Order_I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0" count="1" selected="0">
            <x v="0"/>
          </reference>
        </references>
      </pivotArea>
    </chartFormat>
    <chartFormat chart="3" format="8">
      <pivotArea type="data" outline="0" fieldPosition="0">
        <references count="2">
          <reference field="4294967294" count="1" selected="0">
            <x v="0"/>
          </reference>
          <reference field="20" count="1" selected="0">
            <x v="1"/>
          </reference>
        </references>
      </pivotArea>
    </chartFormat>
    <chartFormat chart="3" format="9">
      <pivotArea type="data" outline="0" fieldPosition="0">
        <references count="2">
          <reference field="4294967294" count="1" selected="0">
            <x v="0"/>
          </reference>
          <reference field="20" count="1" selected="0">
            <x v="2"/>
          </reference>
        </references>
      </pivotArea>
    </chartFormat>
    <chartFormat chart="3" format="10">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A92A3E-21EA-43FA-BBCF-CA1509782E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22">
    <pivotField dataField="1" showAll="0"/>
    <pivotField numFmtId="14"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axis="axisRow" showAll="0">
      <items count="8">
        <item x="1"/>
        <item x="5"/>
        <item x="0"/>
        <item x="6"/>
        <item x="4"/>
        <item x="2"/>
        <item x="3"/>
        <item t="default"/>
      </items>
    </pivotField>
    <pivotField numFmtId="14" showAll="0"/>
    <pivotField showAll="0"/>
    <pivotField showAll="0"/>
    <pivotField showAll="0"/>
    <pivotField showAll="0"/>
    <pivotField showAll="0"/>
    <pivotField showAll="0"/>
    <pivotField showAll="0">
      <items count="4">
        <item x="2"/>
        <item x="1"/>
        <item x="0"/>
        <item t="default"/>
      </items>
    </pivotField>
  </pivotFields>
  <rowFields count="1">
    <field x="13"/>
  </rowFields>
  <rowItems count="8">
    <i>
      <x/>
    </i>
    <i>
      <x v="1"/>
    </i>
    <i>
      <x v="2"/>
    </i>
    <i>
      <x v="3"/>
    </i>
    <i>
      <x v="4"/>
    </i>
    <i>
      <x v="5"/>
    </i>
    <i>
      <x v="6"/>
    </i>
    <i t="grand">
      <x/>
    </i>
  </rowItems>
  <colItems count="1">
    <i/>
  </colItems>
  <dataFields count="1">
    <dataField name="Count of Order_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09F440-07E5-4C23-A4A4-67E83FFB87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22">
    <pivotField dataField="1" showAll="0"/>
    <pivotField numFmtId="14"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numFmtId="14" showAll="0"/>
    <pivotField showAll="0"/>
    <pivotField showAll="0"/>
    <pivotField showAll="0"/>
    <pivotField axis="axisRow" showAll="0">
      <items count="7">
        <item x="4"/>
        <item x="1"/>
        <item x="5"/>
        <item x="2"/>
        <item x="3"/>
        <item h="1" x="0"/>
        <item t="default"/>
      </items>
    </pivotField>
    <pivotField showAll="0"/>
    <pivotField showAll="0"/>
    <pivotField showAll="0">
      <items count="4">
        <item x="2"/>
        <item x="1"/>
        <item x="0"/>
        <item t="default"/>
      </items>
    </pivotField>
  </pivotFields>
  <rowFields count="1">
    <field x="18"/>
  </rowFields>
  <rowItems count="6">
    <i>
      <x/>
    </i>
    <i>
      <x v="1"/>
    </i>
    <i>
      <x v="2"/>
    </i>
    <i>
      <x v="3"/>
    </i>
    <i>
      <x v="4"/>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56FF43-879A-4018-9546-FA9CCF019F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dataField="1" showAll="0"/>
    <pivotField numFmtId="14"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numFmtId="14" showAll="0"/>
    <pivotField showAll="0"/>
    <pivotField showAll="0"/>
    <pivotField axis="axisRow" showAll="0">
      <items count="6">
        <item x="3"/>
        <item x="2"/>
        <item x="4"/>
        <item x="1"/>
        <item h="1" x="0"/>
        <item t="default"/>
      </items>
    </pivotField>
    <pivotField showAll="0"/>
    <pivotField showAll="0"/>
    <pivotField showAll="0"/>
    <pivotField showAll="0">
      <items count="4">
        <item x="2"/>
        <item x="1"/>
        <item x="0"/>
        <item t="default"/>
      </items>
    </pivotField>
  </pivotFields>
  <rowFields count="1">
    <field x="17"/>
  </rowFields>
  <rowItems count="5">
    <i>
      <x/>
    </i>
    <i>
      <x v="1"/>
    </i>
    <i>
      <x v="2"/>
    </i>
    <i>
      <x v="3"/>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AA846E-218A-4D9B-8606-D79FED6EB7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2">
    <pivotField showAll="0"/>
    <pivotField numFmtId="14" showAll="0"/>
    <pivotField showAll="0"/>
    <pivotField showAll="0"/>
    <pivotField showAll="0"/>
    <pivotField showAll="0"/>
    <pivotField showAll="0"/>
    <pivotField showAll="0">
      <items count="5">
        <item x="2"/>
        <item x="3"/>
        <item x="1"/>
        <item x="0"/>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axis="axisRow" showAll="0">
      <items count="4">
        <item x="2"/>
        <item x="1"/>
        <item x="0"/>
        <item t="default"/>
      </items>
    </pivotField>
  </pivotFields>
  <rowFields count="1">
    <field x="21"/>
  </rowFields>
  <rowItems count="4">
    <i>
      <x/>
    </i>
    <i>
      <x v="1"/>
    </i>
    <i>
      <x v="2"/>
    </i>
    <i t="grand">
      <x/>
    </i>
  </rowItems>
  <colItems count="1">
    <i/>
  </colItems>
  <dataFields count="1">
    <dataField name="Sum of Total_Amount" fld="10" baseField="0" baseItem="0"/>
  </dataField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CA904D-E8E3-4E3F-AAF2-CA8D4104F7B8}" sourceName="Category">
  <pivotTables>
    <pivotTable tabId="24" name="PivotTable1"/>
    <pivotTable tabId="8" name="PivotTable2"/>
    <pivotTable tabId="18" name="PivotTable4"/>
    <pivotTable tabId="23" name="PivotTable9"/>
    <pivotTable tabId="7" name="PivotTable1"/>
    <pivotTable tabId="19" name="PivotTable5"/>
    <pivotTable tabId="25" name="PivotTable2"/>
    <pivotTable tabId="25" name="PivotTable3"/>
  </pivotTables>
  <data>
    <tabular pivotCacheId="1221877280">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C6CAA6B-30A8-463D-8260-F6DFFF4E16B5}" sourceName="Order Month">
  <pivotTables>
    <pivotTable tabId="24" name="PivotTable1"/>
    <pivotTable tabId="8" name="PivotTable2"/>
    <pivotTable tabId="18" name="PivotTable4"/>
    <pivotTable tabId="23" name="PivotTable9"/>
    <pivotTable tabId="7" name="PivotTable1"/>
    <pivotTable tabId="19" name="PivotTable5"/>
    <pivotTable tabId="25" name="PivotTable2"/>
    <pivotTable tabId="25" name="PivotTable3"/>
  </pivotTables>
  <data>
    <tabular pivotCacheId="122187728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E174894-70A1-4650-A777-0AECFF23CE19}" cache="Slicer_Category" caption="Category" rowHeight="241300"/>
  <slicer name="Order Month" xr10:uid="{A3D2F3DF-E471-4818-9745-2A3E59580401}" cache="Slicer_Order_Month" caption="Order 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0C73AE-7196-420A-9484-DEABC5084633}" name="Table1" displayName="Table1" ref="A1:V201" totalsRowShown="0" headerRowDxfId="4">
  <autoFilter ref="A1:V201" xr:uid="{DC0C73AE-7196-420A-9484-DEABC5084633}"/>
  <tableColumns count="22">
    <tableColumn id="1" xr3:uid="{77FF6CDC-FA0B-4563-8A14-21A0A32AD899}" name="Order_ID"/>
    <tableColumn id="2" xr3:uid="{62D3078C-DD06-40FC-945E-0D21057A07C2}" name="Order_Date" dataDxfId="3"/>
    <tableColumn id="3" xr3:uid="{3217A8CE-5D7B-4A4D-9F81-4A9911F4449A}" name="Customer_ID"/>
    <tableColumn id="4" xr3:uid="{E2A854A1-F926-4F41-BF59-11E203572AC8}" name="Customer_Name"/>
    <tableColumn id="5" xr3:uid="{D31FD87A-88D6-4000-8882-A0BBC97439DB}" name="City"/>
    <tableColumn id="6" xr3:uid="{ABD10EF3-A57B-44CD-8E8C-B1179C24C703}" name="Product_ID"/>
    <tableColumn id="7" xr3:uid="{5155D345-F242-44FD-AE74-7CAC2CB9A9B8}" name="Product_Name"/>
    <tableColumn id="8" xr3:uid="{61999083-6B98-4911-B75C-DFC08B7F3D88}" name="Category"/>
    <tableColumn id="9" xr3:uid="{9FA7C827-696A-4FEB-B04B-C21AD30C9C31}" name="Quantity"/>
    <tableColumn id="10" xr3:uid="{3509C245-23D5-4192-93DB-53A6AE26D241}" name="Unit_Price"/>
    <tableColumn id="11" xr3:uid="{332355AA-5DEF-4C71-8D55-E209D7C8CBA5}" name="Total_Amount"/>
    <tableColumn id="12" xr3:uid="{D57C9C31-32A4-4C1E-B37A-D8D0D21D939A}" name="Payment_Method"/>
    <tableColumn id="13" xr3:uid="{84CCEDB6-1ACB-48DD-9A2F-74C39C2E2E04}" name="Payment_Status"/>
    <tableColumn id="14" xr3:uid="{9CEAEC14-0E94-4474-9854-303F098A2D24}" name="Order_Status"/>
    <tableColumn id="15" xr3:uid="{A684A98B-C426-486F-A666-3846F752E6E0}" name="Expected_Delivery_Date" dataDxfId="2"/>
    <tableColumn id="16" xr3:uid="{B14ACAE0-CDAA-4070-92BA-C84CE8886DC6}" name="Actual_Delivery_Date" dataDxfId="1"/>
    <tableColumn id="17" xr3:uid="{2706E07E-F8B0-4F5D-936B-1876F9094AAD}" name="Delivery_Partner"/>
    <tableColumn id="18" xr3:uid="{424D6C59-A666-4363-A947-479BDD816C6C}" name="Return_Reason"/>
    <tableColumn id="19" xr3:uid="{09A2A585-3851-4481-860A-7BAC81EBBE52}" name="Cancellation_Reason"/>
    <tableColumn id="20" xr3:uid="{909CF86B-1848-4ECF-BE64-D1A43EEFEA72}" name="Delivery_Delay_Days">
      <calculatedColumnFormula>IF(P2="","",P2-O2)</calculatedColumnFormula>
    </tableColumn>
    <tableColumn id="21" xr3:uid="{15EFC19F-43B0-4C35-B07E-6708B64CA1DB}" name="Delivery_Performance"/>
    <tableColumn id="22" xr3:uid="{513043C0-1B61-4A3F-87E2-FF7FDDA516C1}" name="Order Month" dataDxfId="0">
      <calculatedColumnFormula>TEXT(B2,"mmmm")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1"/>
  <sheetViews>
    <sheetView workbookViewId="0">
      <pane ySplit="1" topLeftCell="A15" activePane="bottomLeft" state="frozen"/>
      <selection pane="bottomLeft" activeCell="F31" sqref="F31"/>
    </sheetView>
  </sheetViews>
  <sheetFormatPr defaultRowHeight="15" x14ac:dyDescent="0.25"/>
  <cols>
    <col min="1" max="1" width="12" customWidth="1"/>
    <col min="2" max="2" width="14" customWidth="1"/>
    <col min="3" max="3" width="12" customWidth="1"/>
    <col min="4" max="5" width="18" customWidth="1"/>
    <col min="6" max="6" width="12" customWidth="1"/>
    <col min="7" max="7" width="22" customWidth="1"/>
    <col min="8" max="8" width="20" customWidth="1"/>
    <col min="9" max="9" width="10" customWidth="1"/>
    <col min="10" max="10" width="12" customWidth="1"/>
    <col min="11" max="11" width="14" customWidth="1"/>
    <col min="12" max="12" width="20" customWidth="1"/>
    <col min="13" max="13" width="16" customWidth="1"/>
    <col min="14" max="14" width="18" customWidth="1"/>
    <col min="15" max="16" width="22" customWidth="1"/>
    <col min="17" max="17" width="18" customWidth="1"/>
    <col min="18" max="18" width="24" customWidth="1"/>
    <col min="19" max="19" width="26"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s="2">
        <v>46295</v>
      </c>
      <c r="C2" t="s">
        <v>20</v>
      </c>
      <c r="D2" t="s">
        <v>21</v>
      </c>
      <c r="E2" t="s">
        <v>22</v>
      </c>
      <c r="F2" t="s">
        <v>23</v>
      </c>
      <c r="G2" t="s">
        <v>24</v>
      </c>
      <c r="H2" t="s">
        <v>25</v>
      </c>
      <c r="I2">
        <v>2</v>
      </c>
      <c r="J2">
        <v>120</v>
      </c>
      <c r="K2">
        <v>240</v>
      </c>
      <c r="L2" t="s">
        <v>26</v>
      </c>
      <c r="M2" t="s">
        <v>27</v>
      </c>
      <c r="N2" t="s">
        <v>28</v>
      </c>
      <c r="O2" s="2">
        <v>46300</v>
      </c>
      <c r="P2" s="2">
        <v>46301</v>
      </c>
      <c r="Q2" t="s">
        <v>29</v>
      </c>
    </row>
    <row r="3" spans="1:19" x14ac:dyDescent="0.25">
      <c r="A3" t="s">
        <v>30</v>
      </c>
      <c r="B3" s="2">
        <v>46235</v>
      </c>
      <c r="C3" t="s">
        <v>31</v>
      </c>
      <c r="D3" t="s">
        <v>32</v>
      </c>
      <c r="E3" t="s">
        <v>33</v>
      </c>
      <c r="F3" t="s">
        <v>34</v>
      </c>
      <c r="G3" t="s">
        <v>35</v>
      </c>
      <c r="H3" t="s">
        <v>36</v>
      </c>
      <c r="I3">
        <v>1</v>
      </c>
      <c r="J3">
        <v>3200</v>
      </c>
      <c r="K3">
        <v>3200</v>
      </c>
      <c r="L3" t="s">
        <v>26</v>
      </c>
      <c r="M3" t="s">
        <v>37</v>
      </c>
      <c r="N3" t="s">
        <v>38</v>
      </c>
      <c r="O3" s="2">
        <v>46239</v>
      </c>
      <c r="P3" s="2"/>
      <c r="Q3" t="s">
        <v>39</v>
      </c>
      <c r="S3" t="s">
        <v>40</v>
      </c>
    </row>
    <row r="4" spans="1:19" x14ac:dyDescent="0.25">
      <c r="A4" t="s">
        <v>41</v>
      </c>
      <c r="B4" s="2">
        <v>46204</v>
      </c>
      <c r="C4" t="s">
        <v>42</v>
      </c>
      <c r="D4" t="s">
        <v>43</v>
      </c>
      <c r="E4" t="s">
        <v>44</v>
      </c>
      <c r="F4" t="s">
        <v>45</v>
      </c>
      <c r="G4" t="s">
        <v>46</v>
      </c>
      <c r="H4" t="s">
        <v>47</v>
      </c>
      <c r="I4">
        <v>2</v>
      </c>
      <c r="J4">
        <v>1100</v>
      </c>
      <c r="K4">
        <v>2200</v>
      </c>
      <c r="L4" t="s">
        <v>48</v>
      </c>
      <c r="M4" t="s">
        <v>27</v>
      </c>
      <c r="N4" t="s">
        <v>28</v>
      </c>
      <c r="O4" s="2">
        <v>46207</v>
      </c>
      <c r="P4" s="2">
        <v>46209</v>
      </c>
      <c r="Q4" t="s">
        <v>49</v>
      </c>
    </row>
    <row r="5" spans="1:19" x14ac:dyDescent="0.25">
      <c r="A5" t="s">
        <v>50</v>
      </c>
      <c r="B5" s="2">
        <v>46213</v>
      </c>
      <c r="C5" t="s">
        <v>51</v>
      </c>
      <c r="D5" t="s">
        <v>52</v>
      </c>
      <c r="E5" t="s">
        <v>44</v>
      </c>
      <c r="F5" t="s">
        <v>53</v>
      </c>
      <c r="G5" t="s">
        <v>54</v>
      </c>
      <c r="H5" t="s">
        <v>47</v>
      </c>
      <c r="I5">
        <v>3</v>
      </c>
      <c r="J5">
        <v>850</v>
      </c>
      <c r="K5">
        <v>2550</v>
      </c>
      <c r="L5" t="s">
        <v>26</v>
      </c>
      <c r="M5" t="s">
        <v>55</v>
      </c>
      <c r="N5" t="s">
        <v>56</v>
      </c>
      <c r="O5" s="2">
        <v>46220</v>
      </c>
      <c r="P5" s="2">
        <v>46220</v>
      </c>
      <c r="Q5" t="s">
        <v>29</v>
      </c>
      <c r="R5" t="s">
        <v>57</v>
      </c>
    </row>
    <row r="6" spans="1:19" x14ac:dyDescent="0.25">
      <c r="A6" t="s">
        <v>58</v>
      </c>
      <c r="B6" s="2">
        <v>46235</v>
      </c>
      <c r="C6" t="s">
        <v>42</v>
      </c>
      <c r="D6" t="s">
        <v>43</v>
      </c>
      <c r="E6" t="s">
        <v>44</v>
      </c>
      <c r="F6" t="s">
        <v>59</v>
      </c>
      <c r="G6" t="s">
        <v>60</v>
      </c>
      <c r="H6" t="s">
        <v>47</v>
      </c>
      <c r="I6">
        <v>4</v>
      </c>
      <c r="J6">
        <v>350</v>
      </c>
      <c r="K6">
        <v>1400</v>
      </c>
      <c r="L6" t="s">
        <v>61</v>
      </c>
      <c r="M6" t="s">
        <v>55</v>
      </c>
      <c r="N6" t="s">
        <v>28</v>
      </c>
      <c r="O6" s="2">
        <v>46241</v>
      </c>
      <c r="P6" s="2">
        <v>46244</v>
      </c>
      <c r="Q6" t="s">
        <v>39</v>
      </c>
    </row>
    <row r="7" spans="1:19" x14ac:dyDescent="0.25">
      <c r="A7" t="s">
        <v>62</v>
      </c>
      <c r="B7" s="2">
        <v>46258</v>
      </c>
      <c r="C7" t="s">
        <v>63</v>
      </c>
      <c r="D7" t="s">
        <v>64</v>
      </c>
      <c r="E7" t="s">
        <v>353</v>
      </c>
      <c r="F7" t="s">
        <v>65</v>
      </c>
      <c r="G7" t="s">
        <v>66</v>
      </c>
      <c r="H7" t="s">
        <v>36</v>
      </c>
      <c r="I7">
        <v>3</v>
      </c>
      <c r="J7">
        <v>500</v>
      </c>
      <c r="K7">
        <v>1500</v>
      </c>
      <c r="L7" t="s">
        <v>48</v>
      </c>
      <c r="M7" t="s">
        <v>55</v>
      </c>
      <c r="N7" t="s">
        <v>67</v>
      </c>
      <c r="O7" s="2">
        <v>46264</v>
      </c>
      <c r="P7" s="2"/>
      <c r="Q7" t="s">
        <v>39</v>
      </c>
    </row>
    <row r="8" spans="1:19" x14ac:dyDescent="0.25">
      <c r="A8" t="s">
        <v>68</v>
      </c>
      <c r="B8" s="2">
        <v>46217</v>
      </c>
      <c r="C8" t="s">
        <v>69</v>
      </c>
      <c r="D8" t="s">
        <v>70</v>
      </c>
      <c r="E8" t="s">
        <v>71</v>
      </c>
      <c r="F8" t="s">
        <v>72</v>
      </c>
      <c r="G8" t="s">
        <v>73</v>
      </c>
      <c r="H8" t="s">
        <v>36</v>
      </c>
      <c r="I8">
        <v>3</v>
      </c>
      <c r="J8">
        <v>950</v>
      </c>
      <c r="K8">
        <v>2850</v>
      </c>
      <c r="L8" t="s">
        <v>74</v>
      </c>
      <c r="M8" t="s">
        <v>55</v>
      </c>
      <c r="N8" t="s">
        <v>28</v>
      </c>
      <c r="O8" s="2">
        <v>46221</v>
      </c>
      <c r="P8" s="2">
        <v>46221</v>
      </c>
      <c r="Q8" t="s">
        <v>29</v>
      </c>
    </row>
    <row r="9" spans="1:19" x14ac:dyDescent="0.25">
      <c r="A9" t="s">
        <v>75</v>
      </c>
      <c r="B9" s="2">
        <v>46239</v>
      </c>
      <c r="C9" t="s">
        <v>76</v>
      </c>
      <c r="D9" t="s">
        <v>77</v>
      </c>
      <c r="E9" t="s">
        <v>78</v>
      </c>
      <c r="F9" t="s">
        <v>65</v>
      </c>
      <c r="G9" t="s">
        <v>66</v>
      </c>
      <c r="H9" t="s">
        <v>36</v>
      </c>
      <c r="I9">
        <v>2</v>
      </c>
      <c r="J9">
        <v>500</v>
      </c>
      <c r="K9">
        <v>1000</v>
      </c>
      <c r="L9" t="s">
        <v>79</v>
      </c>
      <c r="M9" t="s">
        <v>55</v>
      </c>
      <c r="N9" t="s">
        <v>28</v>
      </c>
      <c r="O9" s="2">
        <v>46245</v>
      </c>
      <c r="P9" s="2">
        <v>46245</v>
      </c>
      <c r="Q9" t="s">
        <v>39</v>
      </c>
    </row>
    <row r="10" spans="1:19" x14ac:dyDescent="0.25">
      <c r="A10" t="s">
        <v>80</v>
      </c>
      <c r="B10" s="2">
        <v>46215</v>
      </c>
      <c r="C10" t="s">
        <v>69</v>
      </c>
      <c r="D10" t="s">
        <v>70</v>
      </c>
      <c r="E10" t="s">
        <v>71</v>
      </c>
      <c r="F10" t="s">
        <v>23</v>
      </c>
      <c r="G10" t="s">
        <v>24</v>
      </c>
      <c r="H10" t="s">
        <v>25</v>
      </c>
      <c r="I10">
        <v>1</v>
      </c>
      <c r="J10">
        <v>120</v>
      </c>
      <c r="K10">
        <v>120</v>
      </c>
      <c r="L10" t="s">
        <v>79</v>
      </c>
      <c r="M10" t="s">
        <v>55</v>
      </c>
      <c r="N10" t="s">
        <v>28</v>
      </c>
      <c r="O10" s="2">
        <v>46219</v>
      </c>
      <c r="P10" s="2">
        <v>46219</v>
      </c>
      <c r="Q10" t="s">
        <v>29</v>
      </c>
    </row>
    <row r="11" spans="1:19" x14ac:dyDescent="0.25">
      <c r="A11" t="s">
        <v>81</v>
      </c>
      <c r="B11" s="2">
        <v>46225</v>
      </c>
      <c r="C11" t="s">
        <v>20</v>
      </c>
      <c r="D11" t="s">
        <v>21</v>
      </c>
      <c r="E11" t="s">
        <v>22</v>
      </c>
      <c r="F11" t="s">
        <v>72</v>
      </c>
      <c r="G11" t="s">
        <v>73</v>
      </c>
      <c r="H11" t="s">
        <v>36</v>
      </c>
      <c r="I11">
        <v>1</v>
      </c>
      <c r="J11">
        <v>950</v>
      </c>
      <c r="K11">
        <v>950</v>
      </c>
      <c r="L11" t="s">
        <v>26</v>
      </c>
      <c r="M11" t="s">
        <v>55</v>
      </c>
      <c r="N11" t="s">
        <v>28</v>
      </c>
      <c r="O11" s="2">
        <v>46231</v>
      </c>
      <c r="P11" s="2">
        <v>46230</v>
      </c>
      <c r="Q11" t="s">
        <v>29</v>
      </c>
    </row>
    <row r="12" spans="1:19" x14ac:dyDescent="0.25">
      <c r="A12" t="s">
        <v>82</v>
      </c>
      <c r="B12" s="2">
        <v>46223</v>
      </c>
      <c r="C12" t="s">
        <v>83</v>
      </c>
      <c r="D12" t="s">
        <v>84</v>
      </c>
      <c r="E12" t="s">
        <v>71</v>
      </c>
      <c r="F12" t="s">
        <v>65</v>
      </c>
      <c r="G12" t="s">
        <v>66</v>
      </c>
      <c r="H12" t="s">
        <v>36</v>
      </c>
      <c r="I12">
        <v>4</v>
      </c>
      <c r="J12">
        <v>500</v>
      </c>
      <c r="K12">
        <v>2000</v>
      </c>
      <c r="L12" t="s">
        <v>61</v>
      </c>
      <c r="M12" t="s">
        <v>55</v>
      </c>
      <c r="N12" t="s">
        <v>67</v>
      </c>
      <c r="O12" s="2">
        <v>46227</v>
      </c>
      <c r="P12" s="2"/>
      <c r="Q12" t="s">
        <v>39</v>
      </c>
    </row>
    <row r="13" spans="1:19" x14ac:dyDescent="0.25">
      <c r="A13" t="s">
        <v>85</v>
      </c>
      <c r="B13" s="2">
        <v>46244</v>
      </c>
      <c r="C13" t="s">
        <v>86</v>
      </c>
      <c r="D13" t="s">
        <v>87</v>
      </c>
      <c r="E13" t="s">
        <v>88</v>
      </c>
      <c r="F13" t="s">
        <v>23</v>
      </c>
      <c r="G13" t="s">
        <v>24</v>
      </c>
      <c r="H13" t="s">
        <v>25</v>
      </c>
      <c r="I13">
        <v>1</v>
      </c>
      <c r="J13">
        <v>120</v>
      </c>
      <c r="K13">
        <v>120</v>
      </c>
      <c r="L13" t="s">
        <v>74</v>
      </c>
      <c r="M13" t="s">
        <v>55</v>
      </c>
      <c r="N13" t="s">
        <v>89</v>
      </c>
      <c r="O13" s="2">
        <v>46247</v>
      </c>
      <c r="P13" s="2"/>
      <c r="Q13" t="s">
        <v>29</v>
      </c>
    </row>
    <row r="14" spans="1:19" x14ac:dyDescent="0.25">
      <c r="A14" t="s">
        <v>90</v>
      </c>
      <c r="B14" s="2">
        <v>46211</v>
      </c>
      <c r="C14" t="s">
        <v>31</v>
      </c>
      <c r="D14" t="s">
        <v>32</v>
      </c>
      <c r="E14" t="s">
        <v>33</v>
      </c>
      <c r="F14" t="s">
        <v>91</v>
      </c>
      <c r="G14" t="s">
        <v>92</v>
      </c>
      <c r="H14" t="s">
        <v>25</v>
      </c>
      <c r="I14">
        <v>2</v>
      </c>
      <c r="J14">
        <v>180</v>
      </c>
      <c r="K14">
        <v>360</v>
      </c>
      <c r="L14" t="s">
        <v>61</v>
      </c>
      <c r="M14" t="s">
        <v>55</v>
      </c>
      <c r="N14" t="s">
        <v>67</v>
      </c>
      <c r="O14" s="2">
        <v>46218</v>
      </c>
      <c r="P14" s="2"/>
      <c r="Q14" t="s">
        <v>39</v>
      </c>
    </row>
    <row r="15" spans="1:19" x14ac:dyDescent="0.25">
      <c r="A15" t="s">
        <v>93</v>
      </c>
      <c r="B15" s="2">
        <v>46255</v>
      </c>
      <c r="C15" t="s">
        <v>94</v>
      </c>
      <c r="D15" t="s">
        <v>95</v>
      </c>
      <c r="E15" t="s">
        <v>96</v>
      </c>
      <c r="F15" t="s">
        <v>97</v>
      </c>
      <c r="G15" t="s">
        <v>98</v>
      </c>
      <c r="H15" t="s">
        <v>47</v>
      </c>
      <c r="I15">
        <v>2</v>
      </c>
      <c r="J15">
        <v>1450</v>
      </c>
      <c r="K15">
        <v>2900</v>
      </c>
      <c r="L15" t="s">
        <v>74</v>
      </c>
      <c r="M15" t="s">
        <v>55</v>
      </c>
      <c r="N15" t="s">
        <v>28</v>
      </c>
      <c r="O15" s="2">
        <v>46258</v>
      </c>
      <c r="P15" s="2">
        <v>46259</v>
      </c>
      <c r="Q15" t="s">
        <v>39</v>
      </c>
    </row>
    <row r="16" spans="1:19" x14ac:dyDescent="0.25">
      <c r="A16" t="s">
        <v>99</v>
      </c>
      <c r="B16" s="2">
        <v>46288</v>
      </c>
      <c r="C16" t="s">
        <v>94</v>
      </c>
      <c r="D16" t="s">
        <v>95</v>
      </c>
      <c r="E16" t="s">
        <v>96</v>
      </c>
      <c r="F16" t="s">
        <v>97</v>
      </c>
      <c r="G16" t="s">
        <v>98</v>
      </c>
      <c r="H16" t="s">
        <v>47</v>
      </c>
      <c r="I16">
        <v>4</v>
      </c>
      <c r="J16">
        <v>1450</v>
      </c>
      <c r="K16">
        <v>5800</v>
      </c>
      <c r="L16" t="s">
        <v>74</v>
      </c>
      <c r="M16" t="s">
        <v>27</v>
      </c>
      <c r="N16" t="s">
        <v>100</v>
      </c>
      <c r="O16" s="2">
        <v>46295</v>
      </c>
      <c r="P16" s="2"/>
      <c r="Q16" t="s">
        <v>101</v>
      </c>
    </row>
    <row r="17" spans="1:19" x14ac:dyDescent="0.25">
      <c r="A17" t="s">
        <v>102</v>
      </c>
      <c r="B17" s="2">
        <v>46234</v>
      </c>
      <c r="C17" t="s">
        <v>103</v>
      </c>
      <c r="D17" t="s">
        <v>104</v>
      </c>
      <c r="E17" t="s">
        <v>105</v>
      </c>
      <c r="F17" t="s">
        <v>106</v>
      </c>
      <c r="G17" t="s">
        <v>107</v>
      </c>
      <c r="H17" t="s">
        <v>47</v>
      </c>
      <c r="I17">
        <v>3</v>
      </c>
      <c r="J17">
        <v>2500</v>
      </c>
      <c r="K17">
        <v>7500</v>
      </c>
      <c r="L17" t="s">
        <v>61</v>
      </c>
      <c r="M17" t="s">
        <v>55</v>
      </c>
      <c r="N17" t="s">
        <v>89</v>
      </c>
      <c r="O17" s="2">
        <v>46239</v>
      </c>
      <c r="P17" s="2"/>
      <c r="Q17" t="s">
        <v>101</v>
      </c>
    </row>
    <row r="18" spans="1:19" x14ac:dyDescent="0.25">
      <c r="A18" t="s">
        <v>108</v>
      </c>
      <c r="B18" s="2">
        <v>46205</v>
      </c>
      <c r="C18" t="s">
        <v>109</v>
      </c>
      <c r="D18" t="s">
        <v>110</v>
      </c>
      <c r="E18" t="s">
        <v>105</v>
      </c>
      <c r="F18" t="s">
        <v>111</v>
      </c>
      <c r="G18" t="s">
        <v>112</v>
      </c>
      <c r="H18" t="s">
        <v>113</v>
      </c>
      <c r="I18">
        <v>1</v>
      </c>
      <c r="J18">
        <v>1250</v>
      </c>
      <c r="K18">
        <v>1250</v>
      </c>
      <c r="L18" t="s">
        <v>48</v>
      </c>
      <c r="M18" t="s">
        <v>27</v>
      </c>
      <c r="N18" t="s">
        <v>28</v>
      </c>
      <c r="O18" s="2">
        <v>46211</v>
      </c>
      <c r="P18" s="2">
        <v>46212</v>
      </c>
      <c r="Q18" t="s">
        <v>39</v>
      </c>
    </row>
    <row r="19" spans="1:19" x14ac:dyDescent="0.25">
      <c r="A19" t="s">
        <v>114</v>
      </c>
      <c r="B19" s="2">
        <v>46220</v>
      </c>
      <c r="C19" t="s">
        <v>42</v>
      </c>
      <c r="D19" t="s">
        <v>43</v>
      </c>
      <c r="E19" t="s">
        <v>44</v>
      </c>
      <c r="F19" t="s">
        <v>106</v>
      </c>
      <c r="G19" t="s">
        <v>107</v>
      </c>
      <c r="H19" t="s">
        <v>47</v>
      </c>
      <c r="I19">
        <v>3</v>
      </c>
      <c r="J19">
        <v>2500</v>
      </c>
      <c r="K19">
        <v>7500</v>
      </c>
      <c r="L19" t="s">
        <v>61</v>
      </c>
      <c r="M19" t="s">
        <v>55</v>
      </c>
      <c r="N19" t="s">
        <v>67</v>
      </c>
      <c r="O19" s="2">
        <v>46225</v>
      </c>
      <c r="P19" s="2"/>
      <c r="Q19" t="s">
        <v>101</v>
      </c>
    </row>
    <row r="20" spans="1:19" x14ac:dyDescent="0.25">
      <c r="A20" t="s">
        <v>115</v>
      </c>
      <c r="B20" s="2">
        <v>46273</v>
      </c>
      <c r="C20" t="s">
        <v>83</v>
      </c>
      <c r="D20" t="s">
        <v>84</v>
      </c>
      <c r="E20" t="s">
        <v>71</v>
      </c>
      <c r="F20" t="s">
        <v>116</v>
      </c>
      <c r="G20" t="s">
        <v>117</v>
      </c>
      <c r="H20" t="s">
        <v>47</v>
      </c>
      <c r="I20">
        <v>4</v>
      </c>
      <c r="J20">
        <v>1200</v>
      </c>
      <c r="K20">
        <v>4800</v>
      </c>
      <c r="L20" t="s">
        <v>74</v>
      </c>
      <c r="M20" t="s">
        <v>27</v>
      </c>
      <c r="N20" t="s">
        <v>28</v>
      </c>
      <c r="O20" s="2">
        <v>46278</v>
      </c>
      <c r="P20" s="2">
        <v>46279</v>
      </c>
      <c r="Q20" t="s">
        <v>39</v>
      </c>
    </row>
    <row r="21" spans="1:19" x14ac:dyDescent="0.25">
      <c r="A21" t="s">
        <v>118</v>
      </c>
      <c r="B21" s="2">
        <v>46221</v>
      </c>
      <c r="C21" t="s">
        <v>42</v>
      </c>
      <c r="D21" t="s">
        <v>43</v>
      </c>
      <c r="E21" t="s">
        <v>44</v>
      </c>
      <c r="F21" t="s">
        <v>119</v>
      </c>
      <c r="G21" t="s">
        <v>120</v>
      </c>
      <c r="H21" t="s">
        <v>113</v>
      </c>
      <c r="I21">
        <v>1</v>
      </c>
      <c r="J21">
        <v>1400</v>
      </c>
      <c r="K21">
        <v>1400</v>
      </c>
      <c r="L21" t="s">
        <v>74</v>
      </c>
      <c r="M21" t="s">
        <v>55</v>
      </c>
      <c r="N21" t="s">
        <v>28</v>
      </c>
      <c r="O21" s="2">
        <v>46226</v>
      </c>
      <c r="P21" s="2">
        <v>46225</v>
      </c>
      <c r="Q21" t="s">
        <v>49</v>
      </c>
    </row>
    <row r="22" spans="1:19" x14ac:dyDescent="0.25">
      <c r="A22" t="s">
        <v>121</v>
      </c>
      <c r="B22" s="2">
        <v>46295</v>
      </c>
      <c r="C22" t="s">
        <v>103</v>
      </c>
      <c r="D22" t="s">
        <v>104</v>
      </c>
      <c r="E22" t="s">
        <v>105</v>
      </c>
      <c r="F22" t="s">
        <v>119</v>
      </c>
      <c r="G22" t="s">
        <v>120</v>
      </c>
      <c r="H22" t="s">
        <v>113</v>
      </c>
      <c r="I22">
        <v>2</v>
      </c>
      <c r="J22">
        <v>1400</v>
      </c>
      <c r="K22">
        <v>2800</v>
      </c>
      <c r="L22" t="s">
        <v>26</v>
      </c>
      <c r="M22" t="s">
        <v>55</v>
      </c>
      <c r="N22" t="s">
        <v>100</v>
      </c>
      <c r="O22" s="2">
        <v>46300</v>
      </c>
      <c r="P22" s="2"/>
      <c r="Q22" t="s">
        <v>29</v>
      </c>
    </row>
    <row r="23" spans="1:19" x14ac:dyDescent="0.25">
      <c r="A23" t="s">
        <v>122</v>
      </c>
      <c r="B23" s="2">
        <v>46285</v>
      </c>
      <c r="C23" t="s">
        <v>103</v>
      </c>
      <c r="D23" t="s">
        <v>104</v>
      </c>
      <c r="E23" t="s">
        <v>105</v>
      </c>
      <c r="F23" t="s">
        <v>53</v>
      </c>
      <c r="G23" t="s">
        <v>54</v>
      </c>
      <c r="H23" t="s">
        <v>47</v>
      </c>
      <c r="I23">
        <v>1</v>
      </c>
      <c r="J23">
        <v>850</v>
      </c>
      <c r="K23">
        <v>850</v>
      </c>
      <c r="L23" t="s">
        <v>48</v>
      </c>
      <c r="M23" t="s">
        <v>55</v>
      </c>
      <c r="N23" t="s">
        <v>123</v>
      </c>
      <c r="O23" s="2">
        <v>46291</v>
      </c>
      <c r="P23" s="2">
        <v>46294</v>
      </c>
      <c r="Q23" t="s">
        <v>39</v>
      </c>
    </row>
    <row r="24" spans="1:19" x14ac:dyDescent="0.25">
      <c r="A24" t="s">
        <v>124</v>
      </c>
      <c r="B24" s="2">
        <v>46224</v>
      </c>
      <c r="C24" t="s">
        <v>125</v>
      </c>
      <c r="D24" t="s">
        <v>126</v>
      </c>
      <c r="E24" t="s">
        <v>44</v>
      </c>
      <c r="F24" t="s">
        <v>59</v>
      </c>
      <c r="G24" t="s">
        <v>60</v>
      </c>
      <c r="H24" t="s">
        <v>47</v>
      </c>
      <c r="I24">
        <v>3</v>
      </c>
      <c r="J24">
        <v>350</v>
      </c>
      <c r="K24">
        <v>1050</v>
      </c>
      <c r="L24" t="s">
        <v>79</v>
      </c>
      <c r="M24" t="s">
        <v>27</v>
      </c>
      <c r="N24" t="s">
        <v>28</v>
      </c>
      <c r="O24" s="2">
        <v>46230</v>
      </c>
      <c r="P24" s="2">
        <v>46231</v>
      </c>
      <c r="Q24" t="s">
        <v>39</v>
      </c>
    </row>
    <row r="25" spans="1:19" x14ac:dyDescent="0.25">
      <c r="A25" t="s">
        <v>127</v>
      </c>
      <c r="B25" s="2">
        <v>46273</v>
      </c>
      <c r="C25" t="s">
        <v>63</v>
      </c>
      <c r="D25" t="s">
        <v>64</v>
      </c>
      <c r="E25" t="s">
        <v>353</v>
      </c>
      <c r="F25" t="s">
        <v>97</v>
      </c>
      <c r="G25" t="s">
        <v>98</v>
      </c>
      <c r="H25" t="s">
        <v>47</v>
      </c>
      <c r="I25">
        <v>2</v>
      </c>
      <c r="J25">
        <v>1450</v>
      </c>
      <c r="K25">
        <v>2900</v>
      </c>
      <c r="L25" t="s">
        <v>74</v>
      </c>
      <c r="M25" t="s">
        <v>55</v>
      </c>
      <c r="N25" t="s">
        <v>67</v>
      </c>
      <c r="O25" s="2">
        <v>46276</v>
      </c>
      <c r="P25" s="2"/>
      <c r="Q25" t="s">
        <v>49</v>
      </c>
    </row>
    <row r="26" spans="1:19" x14ac:dyDescent="0.25">
      <c r="A26" t="s">
        <v>128</v>
      </c>
      <c r="B26" s="2">
        <v>46243</v>
      </c>
      <c r="C26" t="s">
        <v>129</v>
      </c>
      <c r="D26" t="s">
        <v>130</v>
      </c>
      <c r="E26" t="s">
        <v>22</v>
      </c>
      <c r="F26" t="s">
        <v>59</v>
      </c>
      <c r="G26" t="s">
        <v>60</v>
      </c>
      <c r="H26" t="s">
        <v>47</v>
      </c>
      <c r="I26">
        <v>1</v>
      </c>
      <c r="J26">
        <v>350</v>
      </c>
      <c r="K26">
        <v>350</v>
      </c>
      <c r="L26" t="s">
        <v>26</v>
      </c>
      <c r="M26" t="s">
        <v>37</v>
      </c>
      <c r="N26" t="s">
        <v>38</v>
      </c>
      <c r="O26" s="2">
        <v>46248</v>
      </c>
      <c r="P26" s="2"/>
      <c r="Q26" t="s">
        <v>49</v>
      </c>
      <c r="S26" t="s">
        <v>131</v>
      </c>
    </row>
    <row r="27" spans="1:19" x14ac:dyDescent="0.25">
      <c r="A27" t="s">
        <v>132</v>
      </c>
      <c r="B27" s="2">
        <v>46283</v>
      </c>
      <c r="C27" t="s">
        <v>63</v>
      </c>
      <c r="D27" t="s">
        <v>64</v>
      </c>
      <c r="E27" t="s">
        <v>353</v>
      </c>
      <c r="F27" t="s">
        <v>133</v>
      </c>
      <c r="G27" t="s">
        <v>134</v>
      </c>
      <c r="H27" t="s">
        <v>113</v>
      </c>
      <c r="I27">
        <v>4</v>
      </c>
      <c r="J27">
        <v>2200</v>
      </c>
      <c r="K27">
        <v>8800</v>
      </c>
      <c r="L27" t="s">
        <v>61</v>
      </c>
      <c r="M27" t="s">
        <v>55</v>
      </c>
      <c r="N27" t="s">
        <v>100</v>
      </c>
      <c r="O27" s="2">
        <v>46287</v>
      </c>
      <c r="P27" s="2"/>
      <c r="Q27" t="s">
        <v>49</v>
      </c>
    </row>
    <row r="28" spans="1:19" x14ac:dyDescent="0.25">
      <c r="A28" t="s">
        <v>135</v>
      </c>
      <c r="B28" s="2">
        <v>46246</v>
      </c>
      <c r="C28" t="s">
        <v>129</v>
      </c>
      <c r="D28" t="s">
        <v>130</v>
      </c>
      <c r="E28" t="s">
        <v>22</v>
      </c>
      <c r="F28" t="s">
        <v>136</v>
      </c>
      <c r="G28" t="s">
        <v>137</v>
      </c>
      <c r="H28" t="s">
        <v>47</v>
      </c>
      <c r="I28">
        <v>2</v>
      </c>
      <c r="J28">
        <v>650</v>
      </c>
      <c r="K28">
        <v>1300</v>
      </c>
      <c r="L28" t="s">
        <v>61</v>
      </c>
      <c r="M28" t="s">
        <v>27</v>
      </c>
      <c r="N28" t="s">
        <v>28</v>
      </c>
      <c r="O28" s="2">
        <v>46252</v>
      </c>
      <c r="P28" s="2">
        <v>46255</v>
      </c>
      <c r="Q28" t="s">
        <v>101</v>
      </c>
    </row>
    <row r="29" spans="1:19" x14ac:dyDescent="0.25">
      <c r="A29" t="s">
        <v>138</v>
      </c>
      <c r="B29" s="2">
        <v>46208</v>
      </c>
      <c r="C29" t="s">
        <v>139</v>
      </c>
      <c r="D29" t="s">
        <v>140</v>
      </c>
      <c r="E29" t="s">
        <v>96</v>
      </c>
      <c r="F29" t="s">
        <v>141</v>
      </c>
      <c r="G29" t="s">
        <v>142</v>
      </c>
      <c r="H29" t="s">
        <v>47</v>
      </c>
      <c r="I29">
        <v>4</v>
      </c>
      <c r="J29">
        <v>1800</v>
      </c>
      <c r="K29">
        <v>7200</v>
      </c>
      <c r="L29" t="s">
        <v>79</v>
      </c>
      <c r="M29" t="s">
        <v>55</v>
      </c>
      <c r="N29" t="s">
        <v>28</v>
      </c>
      <c r="O29" s="2">
        <v>46214</v>
      </c>
      <c r="P29" s="2">
        <v>46214</v>
      </c>
      <c r="Q29" t="s">
        <v>101</v>
      </c>
    </row>
    <row r="30" spans="1:19" x14ac:dyDescent="0.25">
      <c r="A30" t="s">
        <v>143</v>
      </c>
      <c r="B30" s="2">
        <v>46207</v>
      </c>
      <c r="C30" t="s">
        <v>83</v>
      </c>
      <c r="D30" t="s">
        <v>84</v>
      </c>
      <c r="E30" t="s">
        <v>71</v>
      </c>
      <c r="F30" t="s">
        <v>45</v>
      </c>
      <c r="G30" t="s">
        <v>46</v>
      </c>
      <c r="H30" t="s">
        <v>47</v>
      </c>
      <c r="I30">
        <v>2</v>
      </c>
      <c r="J30">
        <v>1100</v>
      </c>
      <c r="K30">
        <v>2200</v>
      </c>
      <c r="L30" t="s">
        <v>26</v>
      </c>
      <c r="M30" t="s">
        <v>55</v>
      </c>
      <c r="N30" t="s">
        <v>28</v>
      </c>
      <c r="O30" s="2">
        <v>46211</v>
      </c>
      <c r="P30" s="2">
        <v>46212</v>
      </c>
      <c r="Q30" t="s">
        <v>39</v>
      </c>
    </row>
    <row r="31" spans="1:19" x14ac:dyDescent="0.25">
      <c r="A31" t="s">
        <v>144</v>
      </c>
      <c r="B31" s="2">
        <v>46290</v>
      </c>
      <c r="C31" t="s">
        <v>103</v>
      </c>
      <c r="D31" t="s">
        <v>104</v>
      </c>
      <c r="E31" t="s">
        <v>105</v>
      </c>
      <c r="F31" t="s">
        <v>133</v>
      </c>
      <c r="G31" t="s">
        <v>134</v>
      </c>
      <c r="H31" t="s">
        <v>113</v>
      </c>
      <c r="I31">
        <v>4</v>
      </c>
      <c r="J31">
        <v>2200</v>
      </c>
      <c r="K31">
        <v>8800</v>
      </c>
      <c r="L31" t="s">
        <v>48</v>
      </c>
      <c r="M31" t="s">
        <v>55</v>
      </c>
      <c r="N31" t="s">
        <v>56</v>
      </c>
      <c r="O31" s="2">
        <v>46297</v>
      </c>
      <c r="P31" s="2">
        <v>46297</v>
      </c>
      <c r="Q31" t="s">
        <v>39</v>
      </c>
      <c r="R31" t="s">
        <v>145</v>
      </c>
    </row>
    <row r="32" spans="1:19" x14ac:dyDescent="0.25">
      <c r="A32" t="s">
        <v>146</v>
      </c>
      <c r="B32" s="2">
        <v>46208</v>
      </c>
      <c r="C32" t="s">
        <v>139</v>
      </c>
      <c r="D32" t="s">
        <v>140</v>
      </c>
      <c r="E32" t="s">
        <v>96</v>
      </c>
      <c r="F32" t="s">
        <v>147</v>
      </c>
      <c r="G32" t="s">
        <v>148</v>
      </c>
      <c r="H32" t="s">
        <v>25</v>
      </c>
      <c r="I32">
        <v>3</v>
      </c>
      <c r="J32">
        <v>450</v>
      </c>
      <c r="K32">
        <v>1350</v>
      </c>
      <c r="L32" t="s">
        <v>26</v>
      </c>
      <c r="M32" t="s">
        <v>55</v>
      </c>
      <c r="N32" t="s">
        <v>28</v>
      </c>
      <c r="O32" s="2">
        <v>46211</v>
      </c>
      <c r="P32" s="2">
        <v>46212</v>
      </c>
      <c r="Q32" t="s">
        <v>101</v>
      </c>
    </row>
    <row r="33" spans="1:18" x14ac:dyDescent="0.25">
      <c r="A33" t="s">
        <v>149</v>
      </c>
      <c r="B33" s="2">
        <v>46253</v>
      </c>
      <c r="C33" t="s">
        <v>129</v>
      </c>
      <c r="D33" t="s">
        <v>130</v>
      </c>
      <c r="E33" t="s">
        <v>22</v>
      </c>
      <c r="F33" t="s">
        <v>150</v>
      </c>
      <c r="G33" t="s">
        <v>151</v>
      </c>
      <c r="H33" t="s">
        <v>25</v>
      </c>
      <c r="I33">
        <v>1</v>
      </c>
      <c r="J33">
        <v>550</v>
      </c>
      <c r="K33">
        <v>550</v>
      </c>
      <c r="L33" t="s">
        <v>26</v>
      </c>
      <c r="M33" t="s">
        <v>55</v>
      </c>
      <c r="N33" t="s">
        <v>67</v>
      </c>
      <c r="O33" s="2">
        <v>46260</v>
      </c>
      <c r="P33" s="2"/>
      <c r="Q33" t="s">
        <v>39</v>
      </c>
    </row>
    <row r="34" spans="1:18" x14ac:dyDescent="0.25">
      <c r="A34" t="s">
        <v>152</v>
      </c>
      <c r="B34" s="2">
        <v>46250</v>
      </c>
      <c r="C34" t="s">
        <v>129</v>
      </c>
      <c r="D34" t="s">
        <v>130</v>
      </c>
      <c r="E34" t="s">
        <v>22</v>
      </c>
      <c r="F34" t="s">
        <v>136</v>
      </c>
      <c r="G34" t="s">
        <v>137</v>
      </c>
      <c r="H34" t="s">
        <v>47</v>
      </c>
      <c r="I34">
        <v>2</v>
      </c>
      <c r="J34">
        <v>650</v>
      </c>
      <c r="K34">
        <v>1300</v>
      </c>
      <c r="L34" t="s">
        <v>26</v>
      </c>
      <c r="M34" t="s">
        <v>27</v>
      </c>
      <c r="N34" t="s">
        <v>28</v>
      </c>
      <c r="O34" s="2">
        <v>46256</v>
      </c>
      <c r="P34" s="2">
        <v>46255</v>
      </c>
      <c r="Q34" t="s">
        <v>101</v>
      </c>
    </row>
    <row r="35" spans="1:18" x14ac:dyDescent="0.25">
      <c r="A35" t="s">
        <v>153</v>
      </c>
      <c r="B35" s="2">
        <v>46289</v>
      </c>
      <c r="C35" t="s">
        <v>63</v>
      </c>
      <c r="D35" t="s">
        <v>64</v>
      </c>
      <c r="E35" t="s">
        <v>353</v>
      </c>
      <c r="F35" t="s">
        <v>119</v>
      </c>
      <c r="G35" t="s">
        <v>120</v>
      </c>
      <c r="H35" t="s">
        <v>113</v>
      </c>
      <c r="I35">
        <v>3</v>
      </c>
      <c r="J35">
        <v>1400</v>
      </c>
      <c r="K35">
        <v>4200</v>
      </c>
      <c r="L35" t="s">
        <v>26</v>
      </c>
      <c r="M35" t="s">
        <v>55</v>
      </c>
      <c r="N35" t="s">
        <v>28</v>
      </c>
      <c r="O35" s="2">
        <v>46295</v>
      </c>
      <c r="P35" s="2">
        <v>46295</v>
      </c>
      <c r="Q35" t="s">
        <v>49</v>
      </c>
    </row>
    <row r="36" spans="1:18" x14ac:dyDescent="0.25">
      <c r="A36" t="s">
        <v>154</v>
      </c>
      <c r="B36" s="2">
        <v>46290</v>
      </c>
      <c r="C36" t="s">
        <v>20</v>
      </c>
      <c r="D36" t="s">
        <v>21</v>
      </c>
      <c r="E36" t="s">
        <v>22</v>
      </c>
      <c r="F36" t="s">
        <v>65</v>
      </c>
      <c r="G36" t="s">
        <v>66</v>
      </c>
      <c r="H36" t="s">
        <v>36</v>
      </c>
      <c r="I36">
        <v>4</v>
      </c>
      <c r="J36">
        <v>500</v>
      </c>
      <c r="K36">
        <v>2000</v>
      </c>
      <c r="L36" t="s">
        <v>74</v>
      </c>
      <c r="M36" t="s">
        <v>27</v>
      </c>
      <c r="N36" t="s">
        <v>155</v>
      </c>
      <c r="O36" s="2">
        <v>46294</v>
      </c>
      <c r="P36" s="2"/>
      <c r="Q36" t="s">
        <v>101</v>
      </c>
    </row>
    <row r="37" spans="1:18" x14ac:dyDescent="0.25">
      <c r="A37" t="s">
        <v>156</v>
      </c>
      <c r="B37" s="2">
        <v>46242</v>
      </c>
      <c r="C37" t="s">
        <v>157</v>
      </c>
      <c r="D37" t="s">
        <v>158</v>
      </c>
      <c r="E37" t="s">
        <v>96</v>
      </c>
      <c r="F37" t="s">
        <v>23</v>
      </c>
      <c r="G37" t="s">
        <v>24</v>
      </c>
      <c r="H37" t="s">
        <v>25</v>
      </c>
      <c r="I37">
        <v>1</v>
      </c>
      <c r="J37">
        <v>120</v>
      </c>
      <c r="K37">
        <v>120</v>
      </c>
      <c r="L37" t="s">
        <v>74</v>
      </c>
      <c r="M37" t="s">
        <v>55</v>
      </c>
      <c r="N37" t="s">
        <v>28</v>
      </c>
      <c r="O37" s="2">
        <v>46247</v>
      </c>
      <c r="P37" s="2">
        <v>46247</v>
      </c>
      <c r="Q37" t="s">
        <v>101</v>
      </c>
    </row>
    <row r="38" spans="1:18" x14ac:dyDescent="0.25">
      <c r="A38" t="s">
        <v>159</v>
      </c>
      <c r="B38" s="2">
        <v>46290</v>
      </c>
      <c r="C38" t="s">
        <v>109</v>
      </c>
      <c r="D38" t="s">
        <v>110</v>
      </c>
      <c r="E38" t="s">
        <v>105</v>
      </c>
      <c r="F38" t="s">
        <v>34</v>
      </c>
      <c r="G38" t="s">
        <v>35</v>
      </c>
      <c r="H38" t="s">
        <v>36</v>
      </c>
      <c r="I38">
        <v>4</v>
      </c>
      <c r="J38">
        <v>3200</v>
      </c>
      <c r="K38">
        <v>12800</v>
      </c>
      <c r="L38" t="s">
        <v>61</v>
      </c>
      <c r="M38" t="s">
        <v>55</v>
      </c>
      <c r="N38" t="s">
        <v>28</v>
      </c>
      <c r="O38" s="2">
        <v>46294</v>
      </c>
      <c r="P38" s="2">
        <v>46295</v>
      </c>
      <c r="Q38" t="s">
        <v>39</v>
      </c>
    </row>
    <row r="39" spans="1:18" x14ac:dyDescent="0.25">
      <c r="A39" t="s">
        <v>160</v>
      </c>
      <c r="B39" s="2">
        <v>46215</v>
      </c>
      <c r="C39" t="s">
        <v>83</v>
      </c>
      <c r="D39" t="s">
        <v>84</v>
      </c>
      <c r="E39" t="s">
        <v>71</v>
      </c>
      <c r="F39" t="s">
        <v>91</v>
      </c>
      <c r="G39" t="s">
        <v>92</v>
      </c>
      <c r="H39" t="s">
        <v>25</v>
      </c>
      <c r="I39">
        <v>3</v>
      </c>
      <c r="J39">
        <v>180</v>
      </c>
      <c r="K39">
        <v>540</v>
      </c>
      <c r="L39" t="s">
        <v>26</v>
      </c>
      <c r="M39" t="s">
        <v>55</v>
      </c>
      <c r="N39" t="s">
        <v>56</v>
      </c>
      <c r="O39" s="2">
        <v>46219</v>
      </c>
      <c r="P39" s="2">
        <v>46221</v>
      </c>
      <c r="Q39" t="s">
        <v>49</v>
      </c>
      <c r="R39" t="s">
        <v>57</v>
      </c>
    </row>
    <row r="40" spans="1:18" x14ac:dyDescent="0.25">
      <c r="A40" t="s">
        <v>161</v>
      </c>
      <c r="B40" s="2">
        <v>46235</v>
      </c>
      <c r="C40" t="s">
        <v>76</v>
      </c>
      <c r="D40" t="s">
        <v>77</v>
      </c>
      <c r="E40" t="s">
        <v>88</v>
      </c>
      <c r="F40" t="s">
        <v>136</v>
      </c>
      <c r="G40" t="s">
        <v>137</v>
      </c>
      <c r="H40" t="s">
        <v>47</v>
      </c>
      <c r="I40">
        <v>1</v>
      </c>
      <c r="J40">
        <v>650</v>
      </c>
      <c r="K40">
        <v>650</v>
      </c>
      <c r="L40" t="s">
        <v>79</v>
      </c>
      <c r="M40" t="s">
        <v>55</v>
      </c>
      <c r="N40" t="s">
        <v>28</v>
      </c>
      <c r="O40" s="2">
        <v>46241</v>
      </c>
      <c r="P40" s="2">
        <v>46242</v>
      </c>
      <c r="Q40" t="s">
        <v>29</v>
      </c>
    </row>
    <row r="41" spans="1:18" x14ac:dyDescent="0.25">
      <c r="A41" t="s">
        <v>162</v>
      </c>
      <c r="B41" s="2">
        <v>46267</v>
      </c>
      <c r="C41" t="s">
        <v>86</v>
      </c>
      <c r="D41" t="s">
        <v>87</v>
      </c>
      <c r="E41" t="s">
        <v>88</v>
      </c>
      <c r="F41" t="s">
        <v>106</v>
      </c>
      <c r="G41" t="s">
        <v>107</v>
      </c>
      <c r="H41" t="s">
        <v>47</v>
      </c>
      <c r="I41">
        <v>4</v>
      </c>
      <c r="J41">
        <v>2500</v>
      </c>
      <c r="K41">
        <v>10000</v>
      </c>
      <c r="L41" t="s">
        <v>61</v>
      </c>
      <c r="M41" t="s">
        <v>55</v>
      </c>
      <c r="N41" t="s">
        <v>89</v>
      </c>
      <c r="O41" s="2">
        <v>46273</v>
      </c>
      <c r="P41" s="2"/>
      <c r="Q41" t="s">
        <v>39</v>
      </c>
    </row>
    <row r="42" spans="1:18" x14ac:dyDescent="0.25">
      <c r="A42" t="s">
        <v>163</v>
      </c>
      <c r="B42" s="2">
        <v>46226</v>
      </c>
      <c r="C42" t="s">
        <v>63</v>
      </c>
      <c r="D42" t="s">
        <v>64</v>
      </c>
      <c r="E42" t="s">
        <v>353</v>
      </c>
      <c r="F42" t="s">
        <v>65</v>
      </c>
      <c r="G42" t="s">
        <v>66</v>
      </c>
      <c r="H42" t="s">
        <v>36</v>
      </c>
      <c r="I42">
        <v>2</v>
      </c>
      <c r="J42">
        <v>500</v>
      </c>
      <c r="K42">
        <v>1000</v>
      </c>
      <c r="L42" t="s">
        <v>48</v>
      </c>
      <c r="M42" t="s">
        <v>55</v>
      </c>
      <c r="N42" t="s">
        <v>89</v>
      </c>
      <c r="O42" s="2">
        <v>46233</v>
      </c>
      <c r="P42" s="2"/>
      <c r="Q42" t="s">
        <v>49</v>
      </c>
    </row>
    <row r="43" spans="1:18" x14ac:dyDescent="0.25">
      <c r="A43" t="s">
        <v>164</v>
      </c>
      <c r="B43" s="2">
        <v>46263</v>
      </c>
      <c r="C43" t="s">
        <v>63</v>
      </c>
      <c r="D43" t="s">
        <v>64</v>
      </c>
      <c r="E43" t="s">
        <v>353</v>
      </c>
      <c r="F43" t="s">
        <v>34</v>
      </c>
      <c r="G43" t="s">
        <v>35</v>
      </c>
      <c r="H43" t="s">
        <v>36</v>
      </c>
      <c r="I43">
        <v>2</v>
      </c>
      <c r="J43">
        <v>3200</v>
      </c>
      <c r="K43">
        <v>6400</v>
      </c>
      <c r="L43" t="s">
        <v>26</v>
      </c>
      <c r="M43" t="s">
        <v>27</v>
      </c>
      <c r="N43" t="s">
        <v>28</v>
      </c>
      <c r="O43" s="2">
        <v>46270</v>
      </c>
      <c r="P43" s="2">
        <v>46271</v>
      </c>
      <c r="Q43" t="s">
        <v>29</v>
      </c>
    </row>
    <row r="44" spans="1:18" x14ac:dyDescent="0.25">
      <c r="A44" t="s">
        <v>165</v>
      </c>
      <c r="B44" s="2">
        <v>46274</v>
      </c>
      <c r="C44" t="s">
        <v>94</v>
      </c>
      <c r="D44" t="s">
        <v>95</v>
      </c>
      <c r="E44" t="s">
        <v>96</v>
      </c>
      <c r="F44" t="s">
        <v>91</v>
      </c>
      <c r="G44" t="s">
        <v>92</v>
      </c>
      <c r="H44" t="s">
        <v>25</v>
      </c>
      <c r="I44">
        <v>4</v>
      </c>
      <c r="J44">
        <v>180</v>
      </c>
      <c r="K44">
        <v>720</v>
      </c>
      <c r="L44" t="s">
        <v>79</v>
      </c>
      <c r="M44" t="s">
        <v>27</v>
      </c>
      <c r="N44" t="s">
        <v>28</v>
      </c>
      <c r="O44" s="2">
        <v>46280</v>
      </c>
      <c r="P44" s="2">
        <v>46280</v>
      </c>
      <c r="Q44" t="s">
        <v>29</v>
      </c>
    </row>
    <row r="45" spans="1:18" x14ac:dyDescent="0.25">
      <c r="A45" t="s">
        <v>166</v>
      </c>
      <c r="B45" s="2">
        <v>46270</v>
      </c>
      <c r="C45" t="s">
        <v>103</v>
      </c>
      <c r="D45" t="s">
        <v>104</v>
      </c>
      <c r="E45" t="s">
        <v>105</v>
      </c>
      <c r="F45" t="s">
        <v>45</v>
      </c>
      <c r="G45" t="s">
        <v>46</v>
      </c>
      <c r="H45" t="s">
        <v>47</v>
      </c>
      <c r="I45">
        <v>3</v>
      </c>
      <c r="J45">
        <v>1100</v>
      </c>
      <c r="K45">
        <v>3300</v>
      </c>
      <c r="L45" t="s">
        <v>61</v>
      </c>
      <c r="M45" t="s">
        <v>27</v>
      </c>
      <c r="N45" t="s">
        <v>155</v>
      </c>
      <c r="O45" s="2">
        <v>46276</v>
      </c>
      <c r="P45" s="2"/>
      <c r="Q45" t="s">
        <v>101</v>
      </c>
    </row>
    <row r="46" spans="1:18" x14ac:dyDescent="0.25">
      <c r="A46" t="s">
        <v>167</v>
      </c>
      <c r="B46" s="2">
        <v>46234</v>
      </c>
      <c r="C46" t="s">
        <v>109</v>
      </c>
      <c r="D46" t="s">
        <v>110</v>
      </c>
      <c r="E46" t="s">
        <v>105</v>
      </c>
      <c r="F46" t="s">
        <v>97</v>
      </c>
      <c r="G46" t="s">
        <v>98</v>
      </c>
      <c r="H46" t="s">
        <v>47</v>
      </c>
      <c r="I46">
        <v>3</v>
      </c>
      <c r="J46">
        <v>1450</v>
      </c>
      <c r="K46">
        <v>4350</v>
      </c>
      <c r="L46" t="s">
        <v>168</v>
      </c>
      <c r="M46" t="s">
        <v>55</v>
      </c>
      <c r="N46" t="s">
        <v>100</v>
      </c>
      <c r="O46" s="2">
        <v>46239</v>
      </c>
      <c r="P46" s="2"/>
      <c r="Q46" t="s">
        <v>39</v>
      </c>
    </row>
    <row r="47" spans="1:18" x14ac:dyDescent="0.25">
      <c r="A47" t="s">
        <v>169</v>
      </c>
      <c r="B47" s="2">
        <v>46253</v>
      </c>
      <c r="C47" t="s">
        <v>76</v>
      </c>
      <c r="D47" t="s">
        <v>77</v>
      </c>
      <c r="E47" t="s">
        <v>88</v>
      </c>
      <c r="F47" t="s">
        <v>59</v>
      </c>
      <c r="G47" t="s">
        <v>60</v>
      </c>
      <c r="H47" t="s">
        <v>47</v>
      </c>
      <c r="I47">
        <v>2</v>
      </c>
      <c r="J47">
        <v>350</v>
      </c>
      <c r="K47">
        <v>700</v>
      </c>
      <c r="L47" t="s">
        <v>48</v>
      </c>
      <c r="M47" t="s">
        <v>55</v>
      </c>
      <c r="N47" t="s">
        <v>28</v>
      </c>
      <c r="O47" s="2">
        <v>46257</v>
      </c>
      <c r="P47" s="2">
        <v>46259</v>
      </c>
      <c r="Q47" t="s">
        <v>29</v>
      </c>
    </row>
    <row r="48" spans="1:18" x14ac:dyDescent="0.25">
      <c r="A48" t="s">
        <v>170</v>
      </c>
      <c r="B48" s="2">
        <v>46257</v>
      </c>
      <c r="C48" t="s">
        <v>129</v>
      </c>
      <c r="D48" t="s">
        <v>130</v>
      </c>
      <c r="E48" t="s">
        <v>22</v>
      </c>
      <c r="F48" t="s">
        <v>111</v>
      </c>
      <c r="G48" t="s">
        <v>112</v>
      </c>
      <c r="H48" t="s">
        <v>113</v>
      </c>
      <c r="I48">
        <v>4</v>
      </c>
      <c r="J48">
        <v>1250</v>
      </c>
      <c r="K48">
        <v>5000</v>
      </c>
      <c r="L48" t="s">
        <v>79</v>
      </c>
      <c r="M48" t="s">
        <v>55</v>
      </c>
      <c r="N48" t="s">
        <v>67</v>
      </c>
      <c r="O48" s="2">
        <v>46260</v>
      </c>
      <c r="P48" s="2"/>
      <c r="Q48" t="s">
        <v>29</v>
      </c>
    </row>
    <row r="49" spans="1:18" x14ac:dyDescent="0.25">
      <c r="A49" t="s">
        <v>171</v>
      </c>
      <c r="B49" s="2">
        <v>46265</v>
      </c>
      <c r="C49" t="s">
        <v>86</v>
      </c>
      <c r="D49" t="s">
        <v>87</v>
      </c>
      <c r="E49" t="s">
        <v>88</v>
      </c>
      <c r="F49" t="s">
        <v>136</v>
      </c>
      <c r="G49" t="s">
        <v>137</v>
      </c>
      <c r="H49" t="s">
        <v>47</v>
      </c>
      <c r="I49">
        <v>4</v>
      </c>
      <c r="J49">
        <v>650</v>
      </c>
      <c r="K49">
        <v>2600</v>
      </c>
      <c r="L49" t="s">
        <v>79</v>
      </c>
      <c r="M49" t="s">
        <v>55</v>
      </c>
      <c r="N49" t="s">
        <v>28</v>
      </c>
      <c r="O49" s="2">
        <v>46268</v>
      </c>
      <c r="P49" s="2">
        <v>46268</v>
      </c>
      <c r="Q49" t="s">
        <v>29</v>
      </c>
    </row>
    <row r="50" spans="1:18" x14ac:dyDescent="0.25">
      <c r="A50" t="s">
        <v>172</v>
      </c>
      <c r="B50" s="2">
        <v>46266</v>
      </c>
      <c r="C50" t="s">
        <v>42</v>
      </c>
      <c r="D50" t="s">
        <v>43</v>
      </c>
      <c r="E50" t="s">
        <v>44</v>
      </c>
      <c r="F50" t="s">
        <v>23</v>
      </c>
      <c r="G50" t="s">
        <v>24</v>
      </c>
      <c r="H50" t="s">
        <v>25</v>
      </c>
      <c r="I50">
        <v>2</v>
      </c>
      <c r="J50">
        <v>120</v>
      </c>
      <c r="K50">
        <v>240</v>
      </c>
      <c r="L50" t="s">
        <v>79</v>
      </c>
      <c r="M50" t="s">
        <v>55</v>
      </c>
      <c r="N50" t="s">
        <v>28</v>
      </c>
      <c r="O50" s="2">
        <v>46270</v>
      </c>
      <c r="P50" s="2">
        <v>46270</v>
      </c>
      <c r="Q50" t="s">
        <v>39</v>
      </c>
    </row>
    <row r="51" spans="1:18" x14ac:dyDescent="0.25">
      <c r="A51" t="s">
        <v>173</v>
      </c>
      <c r="B51" s="2">
        <v>46225</v>
      </c>
      <c r="C51" t="s">
        <v>157</v>
      </c>
      <c r="D51" t="s">
        <v>158</v>
      </c>
      <c r="E51" t="s">
        <v>96</v>
      </c>
      <c r="F51" t="s">
        <v>111</v>
      </c>
      <c r="G51" t="s">
        <v>112</v>
      </c>
      <c r="H51" t="s">
        <v>113</v>
      </c>
      <c r="I51">
        <v>4</v>
      </c>
      <c r="J51">
        <v>1250</v>
      </c>
      <c r="K51">
        <v>5000</v>
      </c>
      <c r="L51" t="s">
        <v>74</v>
      </c>
      <c r="M51" t="s">
        <v>27</v>
      </c>
      <c r="N51" t="s">
        <v>28</v>
      </c>
      <c r="O51" s="2">
        <v>46231</v>
      </c>
      <c r="P51" s="2">
        <v>46231</v>
      </c>
      <c r="Q51" t="s">
        <v>39</v>
      </c>
    </row>
    <row r="52" spans="1:18" x14ac:dyDescent="0.25">
      <c r="A52" t="s">
        <v>174</v>
      </c>
      <c r="B52" s="2">
        <v>46214</v>
      </c>
      <c r="C52" t="s">
        <v>157</v>
      </c>
      <c r="D52" t="s">
        <v>158</v>
      </c>
      <c r="E52" t="s">
        <v>96</v>
      </c>
      <c r="F52" t="s">
        <v>147</v>
      </c>
      <c r="G52" t="s">
        <v>148</v>
      </c>
      <c r="H52" t="s">
        <v>25</v>
      </c>
      <c r="I52">
        <v>1</v>
      </c>
      <c r="J52">
        <v>450</v>
      </c>
      <c r="K52">
        <v>450</v>
      </c>
      <c r="L52" t="s">
        <v>61</v>
      </c>
      <c r="M52" t="s">
        <v>55</v>
      </c>
      <c r="N52" t="s">
        <v>28</v>
      </c>
      <c r="O52" s="2">
        <v>46220</v>
      </c>
      <c r="P52" s="2">
        <v>46220</v>
      </c>
      <c r="Q52" t="s">
        <v>39</v>
      </c>
    </row>
    <row r="53" spans="1:18" x14ac:dyDescent="0.25">
      <c r="A53" t="s">
        <v>175</v>
      </c>
      <c r="B53" s="2">
        <v>46231</v>
      </c>
      <c r="C53" t="s">
        <v>103</v>
      </c>
      <c r="D53" t="s">
        <v>104</v>
      </c>
      <c r="E53" t="s">
        <v>105</v>
      </c>
      <c r="F53" t="s">
        <v>72</v>
      </c>
      <c r="G53" t="s">
        <v>73</v>
      </c>
      <c r="H53" t="s">
        <v>36</v>
      </c>
      <c r="I53">
        <v>3</v>
      </c>
      <c r="J53">
        <v>950</v>
      </c>
      <c r="K53">
        <v>2850</v>
      </c>
      <c r="L53" t="s">
        <v>79</v>
      </c>
      <c r="M53" t="s">
        <v>55</v>
      </c>
      <c r="N53" t="s">
        <v>28</v>
      </c>
      <c r="O53" s="2">
        <v>46237</v>
      </c>
      <c r="P53" s="2">
        <v>46237</v>
      </c>
      <c r="Q53" t="s">
        <v>101</v>
      </c>
    </row>
    <row r="54" spans="1:18" x14ac:dyDescent="0.25">
      <c r="A54" t="s">
        <v>176</v>
      </c>
      <c r="B54" s="2">
        <v>46264</v>
      </c>
      <c r="C54" t="s">
        <v>129</v>
      </c>
      <c r="D54" t="s">
        <v>130</v>
      </c>
      <c r="E54" t="s">
        <v>22</v>
      </c>
      <c r="F54" t="s">
        <v>177</v>
      </c>
      <c r="G54" t="s">
        <v>178</v>
      </c>
      <c r="H54" t="s">
        <v>113</v>
      </c>
      <c r="I54">
        <v>1</v>
      </c>
      <c r="J54">
        <v>700</v>
      </c>
      <c r="K54">
        <v>700</v>
      </c>
      <c r="L54" t="s">
        <v>48</v>
      </c>
      <c r="M54" t="s">
        <v>27</v>
      </c>
      <c r="N54" t="s">
        <v>28</v>
      </c>
      <c r="O54" s="2">
        <v>46267</v>
      </c>
      <c r="P54" s="2">
        <v>46269</v>
      </c>
      <c r="Q54" t="s">
        <v>101</v>
      </c>
    </row>
    <row r="55" spans="1:18" x14ac:dyDescent="0.25">
      <c r="A55" t="s">
        <v>179</v>
      </c>
      <c r="B55" s="2">
        <v>46207</v>
      </c>
      <c r="C55" t="s">
        <v>180</v>
      </c>
      <c r="D55" t="s">
        <v>181</v>
      </c>
      <c r="E55" t="s">
        <v>33</v>
      </c>
      <c r="F55" t="s">
        <v>97</v>
      </c>
      <c r="G55" t="s">
        <v>98</v>
      </c>
      <c r="H55" t="s">
        <v>47</v>
      </c>
      <c r="I55">
        <v>1</v>
      </c>
      <c r="J55">
        <v>1450</v>
      </c>
      <c r="K55">
        <v>1450</v>
      </c>
      <c r="L55" t="s">
        <v>48</v>
      </c>
      <c r="M55" t="s">
        <v>55</v>
      </c>
      <c r="N55" t="s">
        <v>155</v>
      </c>
      <c r="O55" s="2">
        <v>46211</v>
      </c>
      <c r="P55" s="2"/>
      <c r="Q55" t="s">
        <v>49</v>
      </c>
    </row>
    <row r="56" spans="1:18" x14ac:dyDescent="0.25">
      <c r="A56" t="s">
        <v>182</v>
      </c>
      <c r="B56" s="2">
        <v>46289</v>
      </c>
      <c r="C56" t="s">
        <v>180</v>
      </c>
      <c r="D56" t="s">
        <v>181</v>
      </c>
      <c r="E56" t="s">
        <v>33</v>
      </c>
      <c r="F56" t="s">
        <v>59</v>
      </c>
      <c r="G56" t="s">
        <v>60</v>
      </c>
      <c r="H56" t="s">
        <v>47</v>
      </c>
      <c r="I56">
        <v>4</v>
      </c>
      <c r="J56">
        <v>350</v>
      </c>
      <c r="K56">
        <v>1400</v>
      </c>
      <c r="L56" t="s">
        <v>79</v>
      </c>
      <c r="M56" t="s">
        <v>55</v>
      </c>
      <c r="N56" t="s">
        <v>28</v>
      </c>
      <c r="O56" s="2">
        <v>46292</v>
      </c>
      <c r="P56" s="2">
        <v>46293</v>
      </c>
      <c r="Q56" t="s">
        <v>101</v>
      </c>
    </row>
    <row r="57" spans="1:18" x14ac:dyDescent="0.25">
      <c r="A57" t="s">
        <v>183</v>
      </c>
      <c r="B57" s="2">
        <v>46224</v>
      </c>
      <c r="C57" t="s">
        <v>184</v>
      </c>
      <c r="D57" t="s">
        <v>185</v>
      </c>
      <c r="E57" t="s">
        <v>88</v>
      </c>
      <c r="F57" t="s">
        <v>116</v>
      </c>
      <c r="G57" t="s">
        <v>117</v>
      </c>
      <c r="H57" t="s">
        <v>47</v>
      </c>
      <c r="I57">
        <v>1</v>
      </c>
      <c r="J57">
        <v>1200</v>
      </c>
      <c r="K57">
        <v>1200</v>
      </c>
      <c r="L57" t="s">
        <v>48</v>
      </c>
      <c r="M57" t="s">
        <v>27</v>
      </c>
      <c r="N57" t="s">
        <v>28</v>
      </c>
      <c r="O57" s="2">
        <v>46229</v>
      </c>
      <c r="P57" s="2">
        <v>46228</v>
      </c>
      <c r="Q57" t="s">
        <v>101</v>
      </c>
    </row>
    <row r="58" spans="1:18" x14ac:dyDescent="0.25">
      <c r="A58" t="s">
        <v>186</v>
      </c>
      <c r="B58" s="2">
        <v>46295</v>
      </c>
      <c r="C58" t="s">
        <v>86</v>
      </c>
      <c r="D58" t="s">
        <v>87</v>
      </c>
      <c r="E58" t="s">
        <v>88</v>
      </c>
      <c r="F58" t="s">
        <v>72</v>
      </c>
      <c r="G58" t="s">
        <v>73</v>
      </c>
      <c r="H58" t="s">
        <v>36</v>
      </c>
      <c r="I58">
        <v>4</v>
      </c>
      <c r="J58">
        <v>950</v>
      </c>
      <c r="K58">
        <v>3800</v>
      </c>
      <c r="L58" t="s">
        <v>74</v>
      </c>
      <c r="M58" t="s">
        <v>55</v>
      </c>
      <c r="N58" t="s">
        <v>100</v>
      </c>
      <c r="O58" s="2">
        <v>46299</v>
      </c>
      <c r="P58" s="2"/>
      <c r="Q58" t="s">
        <v>49</v>
      </c>
    </row>
    <row r="59" spans="1:18" x14ac:dyDescent="0.25">
      <c r="A59" t="s">
        <v>187</v>
      </c>
      <c r="B59" s="2">
        <v>46276</v>
      </c>
      <c r="C59" t="s">
        <v>63</v>
      </c>
      <c r="D59" t="s">
        <v>64</v>
      </c>
      <c r="E59" t="s">
        <v>353</v>
      </c>
      <c r="F59" t="s">
        <v>119</v>
      </c>
      <c r="G59" t="s">
        <v>120</v>
      </c>
      <c r="H59" t="s">
        <v>113</v>
      </c>
      <c r="I59">
        <v>1</v>
      </c>
      <c r="J59">
        <v>1400</v>
      </c>
      <c r="K59">
        <v>1400</v>
      </c>
      <c r="L59" t="s">
        <v>74</v>
      </c>
      <c r="M59" t="s">
        <v>55</v>
      </c>
      <c r="N59" t="s">
        <v>56</v>
      </c>
      <c r="O59" s="2">
        <v>46279</v>
      </c>
      <c r="P59" s="2">
        <v>46279</v>
      </c>
      <c r="Q59" t="s">
        <v>29</v>
      </c>
      <c r="R59" t="s">
        <v>145</v>
      </c>
    </row>
    <row r="60" spans="1:18" x14ac:dyDescent="0.25">
      <c r="A60" t="s">
        <v>188</v>
      </c>
      <c r="B60" s="2">
        <v>46205</v>
      </c>
      <c r="C60" t="s">
        <v>51</v>
      </c>
      <c r="D60" t="s">
        <v>52</v>
      </c>
      <c r="E60" t="s">
        <v>44</v>
      </c>
      <c r="F60" t="s">
        <v>91</v>
      </c>
      <c r="G60" t="s">
        <v>92</v>
      </c>
      <c r="H60" t="s">
        <v>25</v>
      </c>
      <c r="I60">
        <v>3</v>
      </c>
      <c r="J60">
        <v>180</v>
      </c>
      <c r="K60">
        <v>540</v>
      </c>
      <c r="L60" t="s">
        <v>48</v>
      </c>
      <c r="M60" t="s">
        <v>55</v>
      </c>
      <c r="N60" t="s">
        <v>28</v>
      </c>
      <c r="O60" s="2">
        <v>46211</v>
      </c>
      <c r="P60" s="2">
        <v>46214</v>
      </c>
      <c r="Q60" t="s">
        <v>29</v>
      </c>
    </row>
    <row r="61" spans="1:18" x14ac:dyDescent="0.25">
      <c r="A61" t="s">
        <v>189</v>
      </c>
      <c r="B61" s="2">
        <v>46259</v>
      </c>
      <c r="C61" t="s">
        <v>184</v>
      </c>
      <c r="D61" t="s">
        <v>185</v>
      </c>
      <c r="E61" t="s">
        <v>88</v>
      </c>
      <c r="F61" t="s">
        <v>34</v>
      </c>
      <c r="G61" t="s">
        <v>35</v>
      </c>
      <c r="H61" t="s">
        <v>36</v>
      </c>
      <c r="I61">
        <v>2</v>
      </c>
      <c r="J61">
        <v>3200</v>
      </c>
      <c r="K61">
        <v>6400</v>
      </c>
      <c r="L61" t="s">
        <v>26</v>
      </c>
      <c r="M61" t="s">
        <v>27</v>
      </c>
      <c r="N61" t="s">
        <v>28</v>
      </c>
      <c r="O61" s="2">
        <v>46263</v>
      </c>
      <c r="P61" s="2">
        <v>46265</v>
      </c>
      <c r="Q61" t="s">
        <v>29</v>
      </c>
    </row>
    <row r="62" spans="1:18" x14ac:dyDescent="0.25">
      <c r="A62" t="s">
        <v>190</v>
      </c>
      <c r="B62" s="2">
        <v>46245</v>
      </c>
      <c r="C62" t="s">
        <v>109</v>
      </c>
      <c r="D62" t="s">
        <v>110</v>
      </c>
      <c r="E62" t="s">
        <v>105</v>
      </c>
      <c r="F62" t="s">
        <v>65</v>
      </c>
      <c r="G62" t="s">
        <v>66</v>
      </c>
      <c r="H62" t="s">
        <v>36</v>
      </c>
      <c r="I62">
        <v>3</v>
      </c>
      <c r="J62">
        <v>500</v>
      </c>
      <c r="K62">
        <v>1500</v>
      </c>
      <c r="L62" t="s">
        <v>26</v>
      </c>
      <c r="M62" t="s">
        <v>55</v>
      </c>
      <c r="N62" t="s">
        <v>28</v>
      </c>
      <c r="O62" s="2">
        <v>46249</v>
      </c>
      <c r="P62" s="2">
        <v>46252</v>
      </c>
      <c r="Q62" t="s">
        <v>29</v>
      </c>
    </row>
    <row r="63" spans="1:18" x14ac:dyDescent="0.25">
      <c r="A63" t="s">
        <v>191</v>
      </c>
      <c r="B63" s="2">
        <v>46247</v>
      </c>
      <c r="C63" t="s">
        <v>180</v>
      </c>
      <c r="D63" t="s">
        <v>181</v>
      </c>
      <c r="E63" t="s">
        <v>33</v>
      </c>
      <c r="F63" t="s">
        <v>34</v>
      </c>
      <c r="G63" t="s">
        <v>35</v>
      </c>
      <c r="H63" t="s">
        <v>36</v>
      </c>
      <c r="I63">
        <v>4</v>
      </c>
      <c r="J63">
        <v>3200</v>
      </c>
      <c r="K63">
        <v>12800</v>
      </c>
      <c r="L63" t="s">
        <v>61</v>
      </c>
      <c r="M63" t="s">
        <v>55</v>
      </c>
      <c r="N63" t="s">
        <v>28</v>
      </c>
      <c r="O63" s="2">
        <v>46250</v>
      </c>
      <c r="P63" s="2">
        <v>46251</v>
      </c>
      <c r="Q63" t="s">
        <v>29</v>
      </c>
    </row>
    <row r="64" spans="1:18" x14ac:dyDescent="0.25">
      <c r="A64" t="s">
        <v>192</v>
      </c>
      <c r="B64" s="2">
        <v>46247</v>
      </c>
      <c r="C64" t="s">
        <v>20</v>
      </c>
      <c r="D64" t="s">
        <v>21</v>
      </c>
      <c r="E64" t="s">
        <v>22</v>
      </c>
      <c r="F64" t="s">
        <v>133</v>
      </c>
      <c r="G64" t="s">
        <v>134</v>
      </c>
      <c r="H64" t="s">
        <v>113</v>
      </c>
      <c r="I64">
        <v>3</v>
      </c>
      <c r="J64">
        <v>2200</v>
      </c>
      <c r="K64">
        <v>6600</v>
      </c>
      <c r="L64" t="s">
        <v>26</v>
      </c>
      <c r="M64" t="s">
        <v>27</v>
      </c>
      <c r="N64" t="s">
        <v>100</v>
      </c>
      <c r="O64" s="2">
        <v>46252</v>
      </c>
      <c r="P64" s="2"/>
      <c r="Q64" t="s">
        <v>39</v>
      </c>
    </row>
    <row r="65" spans="1:19" x14ac:dyDescent="0.25">
      <c r="A65" t="s">
        <v>193</v>
      </c>
      <c r="B65" s="2">
        <v>46234</v>
      </c>
      <c r="C65" t="s">
        <v>31</v>
      </c>
      <c r="D65" t="s">
        <v>32</v>
      </c>
      <c r="E65" t="s">
        <v>33</v>
      </c>
      <c r="F65" t="s">
        <v>106</v>
      </c>
      <c r="G65" t="s">
        <v>107</v>
      </c>
      <c r="H65" t="s">
        <v>47</v>
      </c>
      <c r="I65">
        <v>1</v>
      </c>
      <c r="J65">
        <v>2500</v>
      </c>
      <c r="K65">
        <v>2500</v>
      </c>
      <c r="L65" t="s">
        <v>74</v>
      </c>
      <c r="M65" t="s">
        <v>27</v>
      </c>
      <c r="N65" t="s">
        <v>38</v>
      </c>
      <c r="O65" s="2">
        <v>46240</v>
      </c>
      <c r="P65" s="2"/>
      <c r="Q65" t="s">
        <v>49</v>
      </c>
      <c r="S65" t="s">
        <v>194</v>
      </c>
    </row>
    <row r="66" spans="1:19" x14ac:dyDescent="0.25">
      <c r="A66" t="s">
        <v>195</v>
      </c>
      <c r="B66" s="2">
        <v>46215</v>
      </c>
      <c r="C66" t="s">
        <v>196</v>
      </c>
      <c r="D66" t="s">
        <v>197</v>
      </c>
      <c r="E66" t="s">
        <v>71</v>
      </c>
      <c r="F66" t="s">
        <v>34</v>
      </c>
      <c r="G66" t="s">
        <v>35</v>
      </c>
      <c r="H66" t="s">
        <v>36</v>
      </c>
      <c r="I66">
        <v>1</v>
      </c>
      <c r="J66">
        <v>3200</v>
      </c>
      <c r="K66">
        <v>3200</v>
      </c>
      <c r="L66" t="s">
        <v>79</v>
      </c>
      <c r="M66" t="s">
        <v>55</v>
      </c>
      <c r="N66" t="s">
        <v>67</v>
      </c>
      <c r="O66" s="2">
        <v>46220</v>
      </c>
      <c r="P66" s="2"/>
      <c r="Q66" t="s">
        <v>49</v>
      </c>
    </row>
    <row r="67" spans="1:19" x14ac:dyDescent="0.25">
      <c r="A67" t="s">
        <v>198</v>
      </c>
      <c r="B67" s="2">
        <v>46264</v>
      </c>
      <c r="C67" t="s">
        <v>83</v>
      </c>
      <c r="D67" t="s">
        <v>84</v>
      </c>
      <c r="E67" t="s">
        <v>71</v>
      </c>
      <c r="F67" t="s">
        <v>147</v>
      </c>
      <c r="G67" t="s">
        <v>148</v>
      </c>
      <c r="H67" t="s">
        <v>25</v>
      </c>
      <c r="I67">
        <v>3</v>
      </c>
      <c r="J67">
        <v>450</v>
      </c>
      <c r="K67">
        <v>1350</v>
      </c>
      <c r="L67" t="s">
        <v>79</v>
      </c>
      <c r="M67" t="s">
        <v>55</v>
      </c>
      <c r="N67" t="s">
        <v>28</v>
      </c>
      <c r="O67" s="2">
        <v>46271</v>
      </c>
      <c r="P67" s="2">
        <v>46272</v>
      </c>
      <c r="Q67" t="s">
        <v>101</v>
      </c>
    </row>
    <row r="68" spans="1:19" x14ac:dyDescent="0.25">
      <c r="A68" t="s">
        <v>199</v>
      </c>
      <c r="B68" s="2">
        <v>46243</v>
      </c>
      <c r="C68" t="s">
        <v>184</v>
      </c>
      <c r="D68" t="s">
        <v>185</v>
      </c>
      <c r="E68" t="s">
        <v>88</v>
      </c>
      <c r="F68" t="s">
        <v>34</v>
      </c>
      <c r="G68" t="s">
        <v>35</v>
      </c>
      <c r="H68" t="s">
        <v>36</v>
      </c>
      <c r="I68">
        <v>3</v>
      </c>
      <c r="J68">
        <v>3200</v>
      </c>
      <c r="K68">
        <v>9600</v>
      </c>
      <c r="L68" t="s">
        <v>48</v>
      </c>
      <c r="M68" t="s">
        <v>55</v>
      </c>
      <c r="N68" t="s">
        <v>67</v>
      </c>
      <c r="O68" s="2">
        <v>46248</v>
      </c>
      <c r="P68" s="2"/>
      <c r="Q68" t="s">
        <v>49</v>
      </c>
    </row>
    <row r="69" spans="1:19" x14ac:dyDescent="0.25">
      <c r="A69" t="s">
        <v>200</v>
      </c>
      <c r="B69" s="2">
        <v>46228</v>
      </c>
      <c r="C69" t="s">
        <v>125</v>
      </c>
      <c r="D69" t="s">
        <v>126</v>
      </c>
      <c r="E69" t="s">
        <v>44</v>
      </c>
      <c r="F69" t="s">
        <v>141</v>
      </c>
      <c r="G69" t="s">
        <v>142</v>
      </c>
      <c r="H69" t="s">
        <v>47</v>
      </c>
      <c r="I69">
        <v>2</v>
      </c>
      <c r="J69">
        <v>1800</v>
      </c>
      <c r="K69">
        <v>3600</v>
      </c>
      <c r="L69" t="s">
        <v>26</v>
      </c>
      <c r="M69" t="s">
        <v>55</v>
      </c>
      <c r="N69" t="s">
        <v>28</v>
      </c>
      <c r="O69" s="2">
        <v>46232</v>
      </c>
      <c r="P69" s="2">
        <v>46234</v>
      </c>
      <c r="Q69" t="s">
        <v>101</v>
      </c>
    </row>
    <row r="70" spans="1:19" x14ac:dyDescent="0.25">
      <c r="A70" t="s">
        <v>201</v>
      </c>
      <c r="B70" s="2">
        <v>46233</v>
      </c>
      <c r="C70" t="s">
        <v>63</v>
      </c>
      <c r="D70" t="s">
        <v>64</v>
      </c>
      <c r="E70" t="s">
        <v>353</v>
      </c>
      <c r="F70" t="s">
        <v>106</v>
      </c>
      <c r="G70" t="s">
        <v>107</v>
      </c>
      <c r="H70" t="s">
        <v>47</v>
      </c>
      <c r="I70">
        <v>3</v>
      </c>
      <c r="J70">
        <v>2500</v>
      </c>
      <c r="K70">
        <v>7500</v>
      </c>
      <c r="L70" t="s">
        <v>48</v>
      </c>
      <c r="M70" t="s">
        <v>55</v>
      </c>
      <c r="N70" t="s">
        <v>28</v>
      </c>
      <c r="O70" s="2">
        <v>46238</v>
      </c>
      <c r="P70" s="2">
        <v>46238</v>
      </c>
      <c r="Q70" t="s">
        <v>49</v>
      </c>
    </row>
    <row r="71" spans="1:19" x14ac:dyDescent="0.25">
      <c r="A71" t="s">
        <v>202</v>
      </c>
      <c r="B71" s="2">
        <v>46274</v>
      </c>
      <c r="C71" t="s">
        <v>103</v>
      </c>
      <c r="D71" t="s">
        <v>104</v>
      </c>
      <c r="E71" t="s">
        <v>105</v>
      </c>
      <c r="F71" t="s">
        <v>53</v>
      </c>
      <c r="G71" t="s">
        <v>54</v>
      </c>
      <c r="H71" t="s">
        <v>47</v>
      </c>
      <c r="I71">
        <v>1</v>
      </c>
      <c r="J71">
        <v>850</v>
      </c>
      <c r="K71">
        <v>850</v>
      </c>
      <c r="L71" t="s">
        <v>61</v>
      </c>
      <c r="M71" t="s">
        <v>203</v>
      </c>
      <c r="N71" t="s">
        <v>38</v>
      </c>
      <c r="O71" s="2">
        <v>46279</v>
      </c>
      <c r="P71" s="2"/>
      <c r="Q71" t="s">
        <v>29</v>
      </c>
      <c r="S71" t="s">
        <v>204</v>
      </c>
    </row>
    <row r="72" spans="1:19" x14ac:dyDescent="0.25">
      <c r="A72" t="s">
        <v>205</v>
      </c>
      <c r="B72" s="2">
        <v>46264</v>
      </c>
      <c r="C72" t="s">
        <v>206</v>
      </c>
      <c r="D72" t="s">
        <v>207</v>
      </c>
      <c r="E72" t="s">
        <v>105</v>
      </c>
      <c r="F72" t="s">
        <v>147</v>
      </c>
      <c r="G72" t="s">
        <v>148</v>
      </c>
      <c r="H72" t="s">
        <v>25</v>
      </c>
      <c r="I72">
        <v>3</v>
      </c>
      <c r="J72">
        <v>450</v>
      </c>
      <c r="K72">
        <v>1350</v>
      </c>
      <c r="L72" t="s">
        <v>26</v>
      </c>
      <c r="M72" t="s">
        <v>55</v>
      </c>
      <c r="N72" t="s">
        <v>155</v>
      </c>
      <c r="O72" s="2">
        <v>46270</v>
      </c>
      <c r="P72" s="2"/>
      <c r="Q72" t="s">
        <v>49</v>
      </c>
    </row>
    <row r="73" spans="1:19" x14ac:dyDescent="0.25">
      <c r="A73" t="s">
        <v>208</v>
      </c>
      <c r="B73" s="2">
        <v>46218</v>
      </c>
      <c r="C73" t="s">
        <v>69</v>
      </c>
      <c r="D73" t="s">
        <v>70</v>
      </c>
      <c r="E73" t="s">
        <v>71</v>
      </c>
      <c r="F73" t="s">
        <v>177</v>
      </c>
      <c r="G73" t="s">
        <v>178</v>
      </c>
      <c r="H73" t="s">
        <v>113</v>
      </c>
      <c r="I73">
        <v>4</v>
      </c>
      <c r="J73">
        <v>700</v>
      </c>
      <c r="K73">
        <v>2800</v>
      </c>
      <c r="L73" t="s">
        <v>79</v>
      </c>
      <c r="M73" t="s">
        <v>27</v>
      </c>
      <c r="N73" t="s">
        <v>38</v>
      </c>
      <c r="O73" s="2">
        <v>46221</v>
      </c>
      <c r="P73" s="2"/>
      <c r="Q73" t="s">
        <v>39</v>
      </c>
      <c r="S73" t="s">
        <v>40</v>
      </c>
    </row>
    <row r="74" spans="1:19" x14ac:dyDescent="0.25">
      <c r="A74" t="s">
        <v>209</v>
      </c>
      <c r="B74" s="2">
        <v>46276</v>
      </c>
      <c r="C74" t="s">
        <v>69</v>
      </c>
      <c r="D74" t="s">
        <v>70</v>
      </c>
      <c r="E74" t="s">
        <v>71</v>
      </c>
      <c r="F74" t="s">
        <v>59</v>
      </c>
      <c r="G74" t="s">
        <v>60</v>
      </c>
      <c r="H74" t="s">
        <v>47</v>
      </c>
      <c r="I74">
        <v>2</v>
      </c>
      <c r="J74">
        <v>350</v>
      </c>
      <c r="K74">
        <v>700</v>
      </c>
      <c r="L74" t="s">
        <v>48</v>
      </c>
      <c r="M74" t="s">
        <v>55</v>
      </c>
      <c r="N74" t="s">
        <v>28</v>
      </c>
      <c r="O74" s="2">
        <v>46281</v>
      </c>
      <c r="P74" s="2">
        <v>46280</v>
      </c>
      <c r="Q74" t="s">
        <v>29</v>
      </c>
    </row>
    <row r="75" spans="1:19" x14ac:dyDescent="0.25">
      <c r="A75" t="s">
        <v>210</v>
      </c>
      <c r="B75" s="2">
        <v>46270</v>
      </c>
      <c r="C75" t="s">
        <v>94</v>
      </c>
      <c r="D75" t="s">
        <v>95</v>
      </c>
      <c r="E75" t="s">
        <v>211</v>
      </c>
      <c r="F75" t="s">
        <v>150</v>
      </c>
      <c r="G75" t="s">
        <v>151</v>
      </c>
      <c r="H75" t="s">
        <v>25</v>
      </c>
      <c r="I75">
        <v>2</v>
      </c>
      <c r="J75">
        <v>550</v>
      </c>
      <c r="K75">
        <v>1100</v>
      </c>
      <c r="L75" t="s">
        <v>26</v>
      </c>
      <c r="M75" t="s">
        <v>55</v>
      </c>
      <c r="N75" t="s">
        <v>28</v>
      </c>
      <c r="O75" s="2">
        <v>46276</v>
      </c>
      <c r="P75" s="2">
        <v>46277</v>
      </c>
      <c r="Q75" t="s">
        <v>29</v>
      </c>
    </row>
    <row r="76" spans="1:19" x14ac:dyDescent="0.25">
      <c r="A76" t="s">
        <v>212</v>
      </c>
      <c r="B76" s="2">
        <v>46282</v>
      </c>
      <c r="C76" t="s">
        <v>83</v>
      </c>
      <c r="D76" t="s">
        <v>84</v>
      </c>
      <c r="E76" t="s">
        <v>71</v>
      </c>
      <c r="F76" t="s">
        <v>147</v>
      </c>
      <c r="G76" t="s">
        <v>148</v>
      </c>
      <c r="H76" t="s">
        <v>25</v>
      </c>
      <c r="I76">
        <v>1</v>
      </c>
      <c r="J76">
        <v>450</v>
      </c>
      <c r="K76">
        <v>450</v>
      </c>
      <c r="L76" t="s">
        <v>61</v>
      </c>
      <c r="M76" t="s">
        <v>55</v>
      </c>
      <c r="N76" t="s">
        <v>89</v>
      </c>
      <c r="O76" s="2">
        <v>46285</v>
      </c>
      <c r="P76" s="2"/>
      <c r="Q76" t="s">
        <v>101</v>
      </c>
    </row>
    <row r="77" spans="1:19" x14ac:dyDescent="0.25">
      <c r="A77" t="s">
        <v>213</v>
      </c>
      <c r="B77" s="2">
        <v>46226</v>
      </c>
      <c r="C77" t="s">
        <v>51</v>
      </c>
      <c r="D77" t="s">
        <v>52</v>
      </c>
      <c r="E77" t="s">
        <v>44</v>
      </c>
      <c r="F77" t="s">
        <v>116</v>
      </c>
      <c r="G77" t="s">
        <v>117</v>
      </c>
      <c r="H77" t="s">
        <v>47</v>
      </c>
      <c r="I77">
        <v>2</v>
      </c>
      <c r="J77">
        <v>1200</v>
      </c>
      <c r="K77">
        <v>2400</v>
      </c>
      <c r="L77" t="s">
        <v>48</v>
      </c>
      <c r="M77" t="s">
        <v>55</v>
      </c>
      <c r="N77" t="s">
        <v>28</v>
      </c>
      <c r="O77" s="2">
        <v>46233</v>
      </c>
      <c r="P77" s="2">
        <v>46232</v>
      </c>
      <c r="Q77" t="s">
        <v>29</v>
      </c>
    </row>
    <row r="78" spans="1:19" x14ac:dyDescent="0.25">
      <c r="A78" t="s">
        <v>214</v>
      </c>
      <c r="B78" s="2">
        <v>46241</v>
      </c>
      <c r="C78" t="s">
        <v>109</v>
      </c>
      <c r="D78" t="s">
        <v>110</v>
      </c>
      <c r="E78" t="s">
        <v>105</v>
      </c>
      <c r="F78" t="s">
        <v>150</v>
      </c>
      <c r="G78" t="s">
        <v>151</v>
      </c>
      <c r="H78" t="s">
        <v>25</v>
      </c>
      <c r="I78">
        <v>4</v>
      </c>
      <c r="J78">
        <v>550</v>
      </c>
      <c r="K78">
        <v>2200</v>
      </c>
      <c r="L78" t="s">
        <v>26</v>
      </c>
      <c r="M78" t="s">
        <v>55</v>
      </c>
      <c r="N78" t="s">
        <v>28</v>
      </c>
      <c r="O78" s="2">
        <v>46244</v>
      </c>
      <c r="P78" s="2">
        <v>46244</v>
      </c>
      <c r="Q78" t="s">
        <v>29</v>
      </c>
    </row>
    <row r="79" spans="1:19" x14ac:dyDescent="0.25">
      <c r="A79" t="s">
        <v>215</v>
      </c>
      <c r="B79" s="2">
        <v>46284</v>
      </c>
      <c r="C79" t="s">
        <v>51</v>
      </c>
      <c r="D79" t="s">
        <v>52</v>
      </c>
      <c r="E79" t="s">
        <v>44</v>
      </c>
      <c r="F79" t="s">
        <v>45</v>
      </c>
      <c r="G79" t="s">
        <v>46</v>
      </c>
      <c r="H79" t="s">
        <v>47</v>
      </c>
      <c r="I79">
        <v>3</v>
      </c>
      <c r="J79">
        <v>1100</v>
      </c>
      <c r="K79">
        <v>3300</v>
      </c>
      <c r="L79" t="s">
        <v>79</v>
      </c>
      <c r="M79" t="s">
        <v>55</v>
      </c>
      <c r="N79" t="s">
        <v>28</v>
      </c>
      <c r="O79" s="2">
        <v>46291</v>
      </c>
      <c r="P79" s="2">
        <v>46293</v>
      </c>
      <c r="Q79" t="s">
        <v>39</v>
      </c>
    </row>
    <row r="80" spans="1:19" x14ac:dyDescent="0.25">
      <c r="A80" t="s">
        <v>216</v>
      </c>
      <c r="B80" s="2">
        <v>46238</v>
      </c>
      <c r="C80" t="s">
        <v>42</v>
      </c>
      <c r="D80" t="s">
        <v>43</v>
      </c>
      <c r="E80" t="s">
        <v>44</v>
      </c>
      <c r="F80" t="s">
        <v>45</v>
      </c>
      <c r="G80" t="s">
        <v>46</v>
      </c>
      <c r="H80" t="s">
        <v>47</v>
      </c>
      <c r="I80">
        <v>2</v>
      </c>
      <c r="J80">
        <v>1100</v>
      </c>
      <c r="K80">
        <v>2200</v>
      </c>
      <c r="L80" t="s">
        <v>61</v>
      </c>
      <c r="M80" t="s">
        <v>55</v>
      </c>
      <c r="N80" t="s">
        <v>28</v>
      </c>
      <c r="O80" s="2">
        <v>46242</v>
      </c>
      <c r="P80" s="2">
        <v>46241</v>
      </c>
      <c r="Q80" t="s">
        <v>101</v>
      </c>
    </row>
    <row r="81" spans="1:19" x14ac:dyDescent="0.25">
      <c r="A81" t="s">
        <v>217</v>
      </c>
      <c r="B81" s="2">
        <v>46260</v>
      </c>
      <c r="C81" t="s">
        <v>94</v>
      </c>
      <c r="D81" t="s">
        <v>95</v>
      </c>
      <c r="E81" t="s">
        <v>96</v>
      </c>
      <c r="F81" t="s">
        <v>147</v>
      </c>
      <c r="G81" t="s">
        <v>148</v>
      </c>
      <c r="H81" t="s">
        <v>25</v>
      </c>
      <c r="I81">
        <v>3</v>
      </c>
      <c r="J81">
        <v>450</v>
      </c>
      <c r="K81">
        <v>1350</v>
      </c>
      <c r="L81" t="s">
        <v>26</v>
      </c>
      <c r="M81" t="s">
        <v>55</v>
      </c>
      <c r="N81" t="s">
        <v>56</v>
      </c>
      <c r="O81" s="2">
        <v>46263</v>
      </c>
      <c r="P81" s="2">
        <v>46264</v>
      </c>
      <c r="Q81" t="s">
        <v>29</v>
      </c>
      <c r="R81" t="s">
        <v>145</v>
      </c>
    </row>
    <row r="82" spans="1:19" x14ac:dyDescent="0.25">
      <c r="A82" t="s">
        <v>218</v>
      </c>
      <c r="B82" s="2">
        <v>46260</v>
      </c>
      <c r="C82" t="s">
        <v>31</v>
      </c>
      <c r="D82" t="s">
        <v>32</v>
      </c>
      <c r="E82" t="s">
        <v>33</v>
      </c>
      <c r="F82" t="s">
        <v>23</v>
      </c>
      <c r="G82" t="s">
        <v>24</v>
      </c>
      <c r="H82" t="s">
        <v>25</v>
      </c>
      <c r="I82">
        <v>4</v>
      </c>
      <c r="J82">
        <v>120</v>
      </c>
      <c r="K82">
        <v>480</v>
      </c>
      <c r="L82" t="s">
        <v>79</v>
      </c>
      <c r="M82" t="s">
        <v>55</v>
      </c>
      <c r="N82" t="s">
        <v>28</v>
      </c>
      <c r="O82" s="2">
        <v>46263</v>
      </c>
      <c r="P82" s="2">
        <v>46264</v>
      </c>
      <c r="Q82" t="s">
        <v>101</v>
      </c>
    </row>
    <row r="83" spans="1:19" x14ac:dyDescent="0.25">
      <c r="A83" t="s">
        <v>219</v>
      </c>
      <c r="B83" s="2">
        <v>46215</v>
      </c>
      <c r="C83" t="s">
        <v>94</v>
      </c>
      <c r="D83" t="s">
        <v>95</v>
      </c>
      <c r="E83" t="s">
        <v>96</v>
      </c>
      <c r="F83" t="s">
        <v>177</v>
      </c>
      <c r="G83" t="s">
        <v>178</v>
      </c>
      <c r="H83" t="s">
        <v>113</v>
      </c>
      <c r="I83">
        <v>1</v>
      </c>
      <c r="J83">
        <v>700</v>
      </c>
      <c r="K83">
        <v>700</v>
      </c>
      <c r="L83" t="s">
        <v>74</v>
      </c>
      <c r="M83" t="s">
        <v>27</v>
      </c>
      <c r="N83" t="s">
        <v>67</v>
      </c>
      <c r="O83" s="2">
        <v>46219</v>
      </c>
      <c r="P83" s="2"/>
      <c r="Q83" t="s">
        <v>39</v>
      </c>
    </row>
    <row r="84" spans="1:19" x14ac:dyDescent="0.25">
      <c r="A84" t="s">
        <v>220</v>
      </c>
      <c r="B84" s="2">
        <v>46226</v>
      </c>
      <c r="C84" t="s">
        <v>103</v>
      </c>
      <c r="D84" t="s">
        <v>104</v>
      </c>
      <c r="E84" t="s">
        <v>105</v>
      </c>
      <c r="F84" t="s">
        <v>147</v>
      </c>
      <c r="G84" t="s">
        <v>148</v>
      </c>
      <c r="H84" t="s">
        <v>25</v>
      </c>
      <c r="I84">
        <v>1</v>
      </c>
      <c r="J84">
        <v>450</v>
      </c>
      <c r="K84">
        <v>450</v>
      </c>
      <c r="L84" t="s">
        <v>79</v>
      </c>
      <c r="M84" t="s">
        <v>27</v>
      </c>
      <c r="N84" t="s">
        <v>28</v>
      </c>
      <c r="O84" s="2">
        <v>46232</v>
      </c>
      <c r="P84" s="2">
        <v>46233</v>
      </c>
      <c r="Q84" t="s">
        <v>101</v>
      </c>
    </row>
    <row r="85" spans="1:19" x14ac:dyDescent="0.25">
      <c r="A85" t="s">
        <v>221</v>
      </c>
      <c r="B85" s="2">
        <v>46285</v>
      </c>
      <c r="C85" t="s">
        <v>139</v>
      </c>
      <c r="D85" t="s">
        <v>140</v>
      </c>
      <c r="E85" t="s">
        <v>96</v>
      </c>
      <c r="F85" t="s">
        <v>147</v>
      </c>
      <c r="G85" t="s">
        <v>148</v>
      </c>
      <c r="H85" t="s">
        <v>25</v>
      </c>
      <c r="I85">
        <v>4</v>
      </c>
      <c r="J85">
        <v>450</v>
      </c>
      <c r="K85">
        <v>1800</v>
      </c>
      <c r="L85" t="s">
        <v>79</v>
      </c>
      <c r="M85" t="s">
        <v>55</v>
      </c>
      <c r="N85" t="s">
        <v>67</v>
      </c>
      <c r="O85" s="2">
        <v>46291</v>
      </c>
      <c r="P85" s="2"/>
      <c r="Q85" t="s">
        <v>101</v>
      </c>
    </row>
    <row r="86" spans="1:19" x14ac:dyDescent="0.25">
      <c r="A86" t="s">
        <v>222</v>
      </c>
      <c r="B86" s="2">
        <v>46289</v>
      </c>
      <c r="C86" t="s">
        <v>129</v>
      </c>
      <c r="D86" t="s">
        <v>130</v>
      </c>
      <c r="E86" t="s">
        <v>22</v>
      </c>
      <c r="F86" t="s">
        <v>111</v>
      </c>
      <c r="G86" t="s">
        <v>112</v>
      </c>
      <c r="H86" t="s">
        <v>113</v>
      </c>
      <c r="I86">
        <v>3</v>
      </c>
      <c r="J86">
        <v>1250</v>
      </c>
      <c r="K86">
        <v>3750</v>
      </c>
      <c r="L86" t="s">
        <v>26</v>
      </c>
      <c r="M86" t="s">
        <v>55</v>
      </c>
      <c r="N86" t="s">
        <v>155</v>
      </c>
      <c r="O86" s="2">
        <v>46292</v>
      </c>
      <c r="P86" s="2"/>
      <c r="Q86" t="s">
        <v>29</v>
      </c>
    </row>
    <row r="87" spans="1:19" x14ac:dyDescent="0.25">
      <c r="A87" t="s">
        <v>223</v>
      </c>
      <c r="B87" s="2">
        <v>46274</v>
      </c>
      <c r="C87" t="s">
        <v>196</v>
      </c>
      <c r="D87" t="s">
        <v>197</v>
      </c>
      <c r="E87" t="s">
        <v>71</v>
      </c>
      <c r="F87" t="s">
        <v>119</v>
      </c>
      <c r="G87" t="s">
        <v>120</v>
      </c>
      <c r="H87" t="s">
        <v>113</v>
      </c>
      <c r="I87">
        <v>4</v>
      </c>
      <c r="J87">
        <v>1400</v>
      </c>
      <c r="K87">
        <v>5600</v>
      </c>
      <c r="L87" t="s">
        <v>26</v>
      </c>
      <c r="M87" t="s">
        <v>55</v>
      </c>
      <c r="N87" t="s">
        <v>28</v>
      </c>
      <c r="O87" s="2">
        <v>46277</v>
      </c>
      <c r="P87" s="2">
        <v>46278</v>
      </c>
      <c r="Q87" t="s">
        <v>101</v>
      </c>
    </row>
    <row r="88" spans="1:19" x14ac:dyDescent="0.25">
      <c r="A88" t="s">
        <v>224</v>
      </c>
      <c r="B88" s="2">
        <v>46269</v>
      </c>
      <c r="C88" t="s">
        <v>125</v>
      </c>
      <c r="D88" t="s">
        <v>126</v>
      </c>
      <c r="E88" t="s">
        <v>44</v>
      </c>
      <c r="F88" t="s">
        <v>141</v>
      </c>
      <c r="G88" t="s">
        <v>142</v>
      </c>
      <c r="H88" t="s">
        <v>47</v>
      </c>
      <c r="I88">
        <v>4</v>
      </c>
      <c r="J88">
        <v>1800</v>
      </c>
      <c r="K88">
        <v>7200</v>
      </c>
      <c r="L88" t="s">
        <v>79</v>
      </c>
      <c r="M88" t="s">
        <v>27</v>
      </c>
      <c r="N88" t="s">
        <v>28</v>
      </c>
      <c r="O88" s="2">
        <v>46272</v>
      </c>
      <c r="P88" s="2">
        <v>46274</v>
      </c>
      <c r="Q88" t="s">
        <v>29</v>
      </c>
    </row>
    <row r="89" spans="1:19" x14ac:dyDescent="0.25">
      <c r="A89" t="s">
        <v>225</v>
      </c>
      <c r="B89" s="2">
        <v>46283</v>
      </c>
      <c r="C89" t="s">
        <v>69</v>
      </c>
      <c r="D89" t="s">
        <v>70</v>
      </c>
      <c r="E89" t="s">
        <v>71</v>
      </c>
      <c r="F89" t="s">
        <v>106</v>
      </c>
      <c r="G89" t="s">
        <v>107</v>
      </c>
      <c r="H89" t="s">
        <v>47</v>
      </c>
      <c r="I89">
        <v>3</v>
      </c>
      <c r="J89">
        <v>2500</v>
      </c>
      <c r="K89">
        <v>7500</v>
      </c>
      <c r="L89" t="s">
        <v>79</v>
      </c>
      <c r="M89" t="s">
        <v>27</v>
      </c>
      <c r="N89" t="s">
        <v>155</v>
      </c>
      <c r="O89" s="2">
        <v>46289</v>
      </c>
      <c r="P89" s="2"/>
      <c r="Q89" t="s">
        <v>39</v>
      </c>
    </row>
    <row r="90" spans="1:19" x14ac:dyDescent="0.25">
      <c r="A90" t="s">
        <v>226</v>
      </c>
      <c r="B90" s="2">
        <v>46240</v>
      </c>
      <c r="C90" t="s">
        <v>20</v>
      </c>
      <c r="D90" t="s">
        <v>21</v>
      </c>
      <c r="E90" t="s">
        <v>22</v>
      </c>
      <c r="F90" t="s">
        <v>177</v>
      </c>
      <c r="G90" t="s">
        <v>178</v>
      </c>
      <c r="H90" t="s">
        <v>113</v>
      </c>
      <c r="I90">
        <v>2</v>
      </c>
      <c r="J90">
        <v>700</v>
      </c>
      <c r="K90">
        <v>1400</v>
      </c>
      <c r="L90" t="s">
        <v>79</v>
      </c>
      <c r="M90" t="s">
        <v>27</v>
      </c>
      <c r="N90" t="s">
        <v>67</v>
      </c>
      <c r="O90" s="2">
        <v>46246</v>
      </c>
      <c r="P90" s="2"/>
      <c r="Q90" t="s">
        <v>39</v>
      </c>
    </row>
    <row r="91" spans="1:19" x14ac:dyDescent="0.25">
      <c r="A91" t="s">
        <v>227</v>
      </c>
      <c r="B91" s="2">
        <v>46294</v>
      </c>
      <c r="C91" t="s">
        <v>206</v>
      </c>
      <c r="D91" t="s">
        <v>207</v>
      </c>
      <c r="E91" t="s">
        <v>105</v>
      </c>
      <c r="F91" t="s">
        <v>150</v>
      </c>
      <c r="G91" t="s">
        <v>151</v>
      </c>
      <c r="H91" t="s">
        <v>25</v>
      </c>
      <c r="I91">
        <v>2</v>
      </c>
      <c r="J91">
        <v>550</v>
      </c>
      <c r="K91">
        <v>1100</v>
      </c>
      <c r="L91" t="s">
        <v>74</v>
      </c>
      <c r="M91" t="s">
        <v>27</v>
      </c>
      <c r="N91" t="s">
        <v>38</v>
      </c>
      <c r="O91" s="2">
        <v>46298</v>
      </c>
      <c r="P91" s="2"/>
      <c r="Q91" t="s">
        <v>39</v>
      </c>
      <c r="S91" t="s">
        <v>40</v>
      </c>
    </row>
    <row r="92" spans="1:19" x14ac:dyDescent="0.25">
      <c r="A92" t="s">
        <v>228</v>
      </c>
      <c r="B92" s="2">
        <v>46218</v>
      </c>
      <c r="C92" t="s">
        <v>129</v>
      </c>
      <c r="D92" t="s">
        <v>130</v>
      </c>
      <c r="E92" t="s">
        <v>22</v>
      </c>
      <c r="F92" t="s">
        <v>97</v>
      </c>
      <c r="G92" t="s">
        <v>98</v>
      </c>
      <c r="H92" t="s">
        <v>47</v>
      </c>
      <c r="I92">
        <v>2</v>
      </c>
      <c r="J92">
        <v>1450</v>
      </c>
      <c r="K92">
        <v>2900</v>
      </c>
      <c r="L92" t="s">
        <v>61</v>
      </c>
      <c r="M92" t="s">
        <v>27</v>
      </c>
      <c r="N92" t="s">
        <v>28</v>
      </c>
      <c r="O92" s="2">
        <v>46224</v>
      </c>
      <c r="P92" s="2">
        <v>46223</v>
      </c>
      <c r="Q92" t="s">
        <v>29</v>
      </c>
    </row>
    <row r="93" spans="1:19" x14ac:dyDescent="0.25">
      <c r="A93" t="s">
        <v>229</v>
      </c>
      <c r="B93" s="2">
        <v>46257</v>
      </c>
      <c r="C93" t="s">
        <v>83</v>
      </c>
      <c r="D93" t="s">
        <v>84</v>
      </c>
      <c r="E93" t="s">
        <v>71</v>
      </c>
      <c r="F93" t="s">
        <v>91</v>
      </c>
      <c r="G93" t="s">
        <v>92</v>
      </c>
      <c r="H93" t="s">
        <v>25</v>
      </c>
      <c r="I93">
        <v>3</v>
      </c>
      <c r="J93">
        <v>180</v>
      </c>
      <c r="K93">
        <v>540</v>
      </c>
      <c r="L93" t="s">
        <v>79</v>
      </c>
      <c r="M93" t="s">
        <v>55</v>
      </c>
      <c r="N93" t="s">
        <v>28</v>
      </c>
      <c r="O93" s="2">
        <v>46263</v>
      </c>
      <c r="P93" s="2">
        <v>46264</v>
      </c>
      <c r="Q93" t="s">
        <v>49</v>
      </c>
    </row>
    <row r="94" spans="1:19" x14ac:dyDescent="0.25">
      <c r="A94" t="s">
        <v>230</v>
      </c>
      <c r="B94" s="2">
        <v>46212</v>
      </c>
      <c r="C94" t="s">
        <v>157</v>
      </c>
      <c r="D94" t="s">
        <v>158</v>
      </c>
      <c r="E94" t="s">
        <v>96</v>
      </c>
      <c r="F94" t="s">
        <v>106</v>
      </c>
      <c r="G94" t="s">
        <v>107</v>
      </c>
      <c r="H94" t="s">
        <v>47</v>
      </c>
      <c r="I94">
        <v>2</v>
      </c>
      <c r="J94">
        <v>2500</v>
      </c>
      <c r="K94">
        <v>5000</v>
      </c>
      <c r="L94" t="s">
        <v>26</v>
      </c>
      <c r="M94" t="s">
        <v>55</v>
      </c>
      <c r="N94" t="s">
        <v>155</v>
      </c>
      <c r="O94" s="2">
        <v>46217</v>
      </c>
      <c r="P94" s="2"/>
      <c r="Q94" t="s">
        <v>101</v>
      </c>
    </row>
    <row r="95" spans="1:19" x14ac:dyDescent="0.25">
      <c r="A95" t="s">
        <v>231</v>
      </c>
      <c r="B95" s="2">
        <v>46279</v>
      </c>
      <c r="C95" t="s">
        <v>206</v>
      </c>
      <c r="D95" t="s">
        <v>207</v>
      </c>
      <c r="E95" t="s">
        <v>105</v>
      </c>
      <c r="F95" t="s">
        <v>119</v>
      </c>
      <c r="G95" t="s">
        <v>120</v>
      </c>
      <c r="H95" t="s">
        <v>113</v>
      </c>
      <c r="I95">
        <v>3</v>
      </c>
      <c r="J95">
        <v>1400</v>
      </c>
      <c r="K95">
        <v>4200</v>
      </c>
      <c r="L95" t="s">
        <v>61</v>
      </c>
      <c r="M95" t="s">
        <v>55</v>
      </c>
      <c r="N95" t="s">
        <v>28</v>
      </c>
      <c r="O95" s="2">
        <v>46286</v>
      </c>
      <c r="P95" s="2">
        <v>46288</v>
      </c>
      <c r="Q95" t="s">
        <v>29</v>
      </c>
    </row>
    <row r="96" spans="1:19" x14ac:dyDescent="0.25">
      <c r="A96" t="s">
        <v>232</v>
      </c>
      <c r="B96" s="2">
        <v>46246</v>
      </c>
      <c r="C96" t="s">
        <v>42</v>
      </c>
      <c r="D96" t="s">
        <v>43</v>
      </c>
      <c r="E96" t="s">
        <v>44</v>
      </c>
      <c r="F96" t="s">
        <v>233</v>
      </c>
      <c r="G96" t="s">
        <v>234</v>
      </c>
      <c r="H96" t="s">
        <v>36</v>
      </c>
      <c r="I96">
        <v>3</v>
      </c>
      <c r="J96">
        <v>750</v>
      </c>
      <c r="K96">
        <v>2250</v>
      </c>
      <c r="L96" t="s">
        <v>79</v>
      </c>
      <c r="M96" t="s">
        <v>27</v>
      </c>
      <c r="N96" t="s">
        <v>100</v>
      </c>
      <c r="O96" s="2">
        <v>46253</v>
      </c>
      <c r="P96" s="2"/>
      <c r="Q96" t="s">
        <v>29</v>
      </c>
    </row>
    <row r="97" spans="1:19" x14ac:dyDescent="0.25">
      <c r="A97" t="s">
        <v>235</v>
      </c>
      <c r="B97" s="2">
        <v>46277</v>
      </c>
      <c r="C97" t="s">
        <v>125</v>
      </c>
      <c r="D97" t="s">
        <v>126</v>
      </c>
      <c r="E97" t="s">
        <v>44</v>
      </c>
      <c r="F97" t="s">
        <v>106</v>
      </c>
      <c r="G97" t="s">
        <v>107</v>
      </c>
      <c r="H97" t="s">
        <v>47</v>
      </c>
      <c r="I97">
        <v>2</v>
      </c>
      <c r="J97">
        <v>2500</v>
      </c>
      <c r="K97">
        <v>5000</v>
      </c>
      <c r="L97" t="s">
        <v>48</v>
      </c>
      <c r="M97" t="s">
        <v>55</v>
      </c>
      <c r="N97" t="s">
        <v>28</v>
      </c>
      <c r="O97" s="2">
        <v>46283</v>
      </c>
      <c r="P97" s="2">
        <v>46283</v>
      </c>
      <c r="Q97" t="s">
        <v>101</v>
      </c>
    </row>
    <row r="98" spans="1:19" x14ac:dyDescent="0.25">
      <c r="A98" t="s">
        <v>236</v>
      </c>
      <c r="B98" s="2">
        <v>46288</v>
      </c>
      <c r="C98" t="s">
        <v>196</v>
      </c>
      <c r="D98" t="s">
        <v>197</v>
      </c>
      <c r="E98" t="s">
        <v>71</v>
      </c>
      <c r="F98" t="s">
        <v>72</v>
      </c>
      <c r="G98" t="s">
        <v>73</v>
      </c>
      <c r="H98" t="s">
        <v>36</v>
      </c>
      <c r="I98">
        <v>4</v>
      </c>
      <c r="J98">
        <v>950</v>
      </c>
      <c r="K98">
        <v>3800</v>
      </c>
      <c r="L98" t="s">
        <v>61</v>
      </c>
      <c r="M98" t="s">
        <v>55</v>
      </c>
      <c r="N98" t="s">
        <v>28</v>
      </c>
      <c r="O98" s="2">
        <v>46292</v>
      </c>
      <c r="P98" s="2">
        <v>46293</v>
      </c>
      <c r="Q98" t="s">
        <v>101</v>
      </c>
    </row>
    <row r="99" spans="1:19" x14ac:dyDescent="0.25">
      <c r="A99" t="s">
        <v>237</v>
      </c>
      <c r="B99" s="2">
        <v>46271</v>
      </c>
      <c r="C99" t="s">
        <v>63</v>
      </c>
      <c r="D99" t="s">
        <v>64</v>
      </c>
      <c r="E99" t="s">
        <v>353</v>
      </c>
      <c r="F99" t="s">
        <v>34</v>
      </c>
      <c r="G99" t="s">
        <v>35</v>
      </c>
      <c r="H99" t="s">
        <v>36</v>
      </c>
      <c r="I99">
        <v>1</v>
      </c>
      <c r="J99">
        <v>3200</v>
      </c>
      <c r="K99">
        <v>3200</v>
      </c>
      <c r="L99" t="s">
        <v>61</v>
      </c>
      <c r="M99" t="s">
        <v>37</v>
      </c>
      <c r="N99" t="s">
        <v>38</v>
      </c>
      <c r="O99" s="2">
        <v>46277</v>
      </c>
      <c r="P99" s="2"/>
      <c r="Q99" t="s">
        <v>29</v>
      </c>
      <c r="S99" t="s">
        <v>131</v>
      </c>
    </row>
    <row r="100" spans="1:19" x14ac:dyDescent="0.25">
      <c r="A100" t="s">
        <v>238</v>
      </c>
      <c r="B100" s="2">
        <v>46247</v>
      </c>
      <c r="C100" t="s">
        <v>51</v>
      </c>
      <c r="D100" t="s">
        <v>52</v>
      </c>
      <c r="E100" t="s">
        <v>44</v>
      </c>
      <c r="F100" t="s">
        <v>233</v>
      </c>
      <c r="G100" t="s">
        <v>234</v>
      </c>
      <c r="H100" t="s">
        <v>36</v>
      </c>
      <c r="I100">
        <v>3</v>
      </c>
      <c r="J100">
        <v>750</v>
      </c>
      <c r="K100">
        <v>2250</v>
      </c>
      <c r="L100" t="s">
        <v>48</v>
      </c>
      <c r="M100" t="s">
        <v>55</v>
      </c>
      <c r="N100" t="s">
        <v>28</v>
      </c>
      <c r="O100" s="2">
        <v>46254</v>
      </c>
      <c r="P100" s="2">
        <v>46256</v>
      </c>
      <c r="Q100" t="s">
        <v>101</v>
      </c>
    </row>
    <row r="101" spans="1:19" x14ac:dyDescent="0.25">
      <c r="A101" t="s">
        <v>239</v>
      </c>
      <c r="B101" s="2">
        <v>46284</v>
      </c>
      <c r="C101" t="s">
        <v>42</v>
      </c>
      <c r="D101" t="s">
        <v>43</v>
      </c>
      <c r="E101" t="s">
        <v>44</v>
      </c>
      <c r="F101" t="s">
        <v>72</v>
      </c>
      <c r="G101" t="s">
        <v>73</v>
      </c>
      <c r="H101" t="s">
        <v>36</v>
      </c>
      <c r="I101">
        <v>3</v>
      </c>
      <c r="J101">
        <v>950</v>
      </c>
      <c r="K101">
        <v>2850</v>
      </c>
      <c r="L101" t="s">
        <v>48</v>
      </c>
      <c r="M101" t="s">
        <v>27</v>
      </c>
      <c r="N101" t="s">
        <v>28</v>
      </c>
      <c r="O101" s="2">
        <v>46290</v>
      </c>
      <c r="P101" s="2">
        <v>46293</v>
      </c>
      <c r="Q101" t="s">
        <v>39</v>
      </c>
    </row>
    <row r="102" spans="1:19" x14ac:dyDescent="0.25">
      <c r="A102" t="s">
        <v>240</v>
      </c>
      <c r="B102" s="2">
        <v>46215</v>
      </c>
      <c r="C102" t="s">
        <v>180</v>
      </c>
      <c r="D102" t="s">
        <v>181</v>
      </c>
      <c r="E102" t="s">
        <v>33</v>
      </c>
      <c r="F102" t="s">
        <v>119</v>
      </c>
      <c r="G102" t="s">
        <v>120</v>
      </c>
      <c r="H102" t="s">
        <v>113</v>
      </c>
      <c r="I102">
        <v>2</v>
      </c>
      <c r="J102">
        <v>1400</v>
      </c>
      <c r="K102">
        <v>2800</v>
      </c>
      <c r="L102" t="s">
        <v>48</v>
      </c>
      <c r="M102" t="s">
        <v>37</v>
      </c>
      <c r="N102" t="s">
        <v>38</v>
      </c>
      <c r="O102" s="2">
        <v>46221</v>
      </c>
      <c r="P102" s="2"/>
      <c r="Q102" t="s">
        <v>29</v>
      </c>
      <c r="S102" t="s">
        <v>131</v>
      </c>
    </row>
    <row r="103" spans="1:19" x14ac:dyDescent="0.25">
      <c r="A103" t="s">
        <v>241</v>
      </c>
      <c r="B103" s="2">
        <v>46245</v>
      </c>
      <c r="C103" t="s">
        <v>83</v>
      </c>
      <c r="D103" t="s">
        <v>84</v>
      </c>
      <c r="E103" t="s">
        <v>71</v>
      </c>
      <c r="F103" t="s">
        <v>136</v>
      </c>
      <c r="G103" t="s">
        <v>137</v>
      </c>
      <c r="H103" t="s">
        <v>47</v>
      </c>
      <c r="I103">
        <v>1</v>
      </c>
      <c r="J103">
        <v>650</v>
      </c>
      <c r="K103">
        <v>650</v>
      </c>
      <c r="L103" t="s">
        <v>26</v>
      </c>
      <c r="M103" t="s">
        <v>55</v>
      </c>
      <c r="N103" t="s">
        <v>28</v>
      </c>
      <c r="O103" s="2">
        <v>46248</v>
      </c>
      <c r="P103" s="2">
        <v>46248</v>
      </c>
      <c r="Q103" t="s">
        <v>29</v>
      </c>
    </row>
    <row r="104" spans="1:19" x14ac:dyDescent="0.25">
      <c r="A104" t="s">
        <v>242</v>
      </c>
      <c r="B104" s="2">
        <v>46276</v>
      </c>
      <c r="C104" t="s">
        <v>76</v>
      </c>
      <c r="D104" t="s">
        <v>77</v>
      </c>
      <c r="E104" t="s">
        <v>88</v>
      </c>
      <c r="F104" t="s">
        <v>45</v>
      </c>
      <c r="G104" t="s">
        <v>46</v>
      </c>
      <c r="H104" t="s">
        <v>47</v>
      </c>
      <c r="I104">
        <v>4</v>
      </c>
      <c r="J104">
        <v>1100</v>
      </c>
      <c r="K104">
        <v>4400</v>
      </c>
      <c r="L104" t="s">
        <v>48</v>
      </c>
      <c r="M104" t="s">
        <v>55</v>
      </c>
      <c r="N104" t="s">
        <v>28</v>
      </c>
      <c r="O104" s="2">
        <v>46280</v>
      </c>
      <c r="P104" s="2">
        <v>46280</v>
      </c>
      <c r="Q104" t="s">
        <v>29</v>
      </c>
    </row>
    <row r="105" spans="1:19" x14ac:dyDescent="0.25">
      <c r="A105" t="s">
        <v>243</v>
      </c>
      <c r="B105" s="2">
        <v>46278</v>
      </c>
      <c r="C105" t="s">
        <v>94</v>
      </c>
      <c r="D105" t="s">
        <v>95</v>
      </c>
      <c r="E105" t="s">
        <v>96</v>
      </c>
      <c r="F105" t="s">
        <v>45</v>
      </c>
      <c r="G105" t="s">
        <v>46</v>
      </c>
      <c r="H105" t="s">
        <v>47</v>
      </c>
      <c r="I105">
        <v>4</v>
      </c>
      <c r="J105">
        <v>1100</v>
      </c>
      <c r="K105">
        <v>4400</v>
      </c>
      <c r="L105" t="s">
        <v>79</v>
      </c>
      <c r="M105" t="s">
        <v>37</v>
      </c>
      <c r="N105" t="s">
        <v>38</v>
      </c>
      <c r="O105" s="2">
        <v>46282</v>
      </c>
      <c r="P105" s="2"/>
      <c r="Q105" t="s">
        <v>101</v>
      </c>
      <c r="S105" t="s">
        <v>194</v>
      </c>
    </row>
    <row r="106" spans="1:19" x14ac:dyDescent="0.25">
      <c r="A106" t="s">
        <v>244</v>
      </c>
      <c r="B106" s="2">
        <v>46240</v>
      </c>
      <c r="C106" t="s">
        <v>103</v>
      </c>
      <c r="D106" t="s">
        <v>104</v>
      </c>
      <c r="E106" t="s">
        <v>105</v>
      </c>
      <c r="F106" t="s">
        <v>136</v>
      </c>
      <c r="G106" t="s">
        <v>137</v>
      </c>
      <c r="H106" t="s">
        <v>47</v>
      </c>
      <c r="I106">
        <v>4</v>
      </c>
      <c r="J106">
        <v>650</v>
      </c>
      <c r="K106">
        <v>2600</v>
      </c>
      <c r="L106" t="s">
        <v>79</v>
      </c>
      <c r="M106" t="s">
        <v>55</v>
      </c>
      <c r="N106" t="s">
        <v>28</v>
      </c>
      <c r="O106" s="2">
        <v>46247</v>
      </c>
      <c r="P106" s="2">
        <v>46247</v>
      </c>
      <c r="Q106" t="s">
        <v>101</v>
      </c>
    </row>
    <row r="107" spans="1:19" x14ac:dyDescent="0.25">
      <c r="A107" t="s">
        <v>245</v>
      </c>
      <c r="B107" s="2">
        <v>46292</v>
      </c>
      <c r="C107" t="s">
        <v>86</v>
      </c>
      <c r="D107" t="s">
        <v>87</v>
      </c>
      <c r="E107" t="s">
        <v>88</v>
      </c>
      <c r="F107" t="s">
        <v>119</v>
      </c>
      <c r="G107" t="s">
        <v>120</v>
      </c>
      <c r="H107" t="s">
        <v>113</v>
      </c>
      <c r="I107">
        <v>4</v>
      </c>
      <c r="J107">
        <v>1400</v>
      </c>
      <c r="K107">
        <v>5600</v>
      </c>
      <c r="L107" t="s">
        <v>61</v>
      </c>
      <c r="M107" t="s">
        <v>55</v>
      </c>
      <c r="N107" t="s">
        <v>28</v>
      </c>
      <c r="O107" s="2">
        <v>46297</v>
      </c>
      <c r="P107" s="2">
        <v>46298</v>
      </c>
      <c r="Q107" t="s">
        <v>29</v>
      </c>
    </row>
    <row r="108" spans="1:19" x14ac:dyDescent="0.25">
      <c r="A108" t="s">
        <v>246</v>
      </c>
      <c r="B108" s="2">
        <v>46252</v>
      </c>
      <c r="C108" t="s">
        <v>196</v>
      </c>
      <c r="D108" t="s">
        <v>197</v>
      </c>
      <c r="E108" t="s">
        <v>71</v>
      </c>
      <c r="F108" t="s">
        <v>141</v>
      </c>
      <c r="G108" t="s">
        <v>142</v>
      </c>
      <c r="H108" t="s">
        <v>47</v>
      </c>
      <c r="I108">
        <v>2</v>
      </c>
      <c r="J108">
        <v>1800</v>
      </c>
      <c r="K108">
        <v>3600</v>
      </c>
      <c r="L108" t="s">
        <v>74</v>
      </c>
      <c r="M108" t="s">
        <v>55</v>
      </c>
      <c r="N108" t="s">
        <v>67</v>
      </c>
      <c r="O108" s="2">
        <v>46259</v>
      </c>
      <c r="P108" s="2"/>
      <c r="Q108" t="s">
        <v>101</v>
      </c>
    </row>
    <row r="109" spans="1:19" x14ac:dyDescent="0.25">
      <c r="A109" t="s">
        <v>247</v>
      </c>
      <c r="B109" s="2">
        <v>46239</v>
      </c>
      <c r="C109" t="s">
        <v>83</v>
      </c>
      <c r="D109" t="s">
        <v>84</v>
      </c>
      <c r="E109" t="s">
        <v>71</v>
      </c>
      <c r="F109" t="s">
        <v>136</v>
      </c>
      <c r="G109" t="s">
        <v>137</v>
      </c>
      <c r="H109" t="s">
        <v>47</v>
      </c>
      <c r="I109">
        <v>4</v>
      </c>
      <c r="J109">
        <v>650</v>
      </c>
      <c r="K109">
        <v>2600</v>
      </c>
      <c r="L109" t="s">
        <v>48</v>
      </c>
      <c r="M109" t="s">
        <v>27</v>
      </c>
      <c r="N109" t="s">
        <v>67</v>
      </c>
      <c r="O109" s="2">
        <v>46242</v>
      </c>
      <c r="P109" s="2"/>
      <c r="Q109" t="s">
        <v>29</v>
      </c>
    </row>
    <row r="110" spans="1:19" x14ac:dyDescent="0.25">
      <c r="A110" t="s">
        <v>248</v>
      </c>
      <c r="B110" s="2">
        <v>46232</v>
      </c>
      <c r="C110" t="s">
        <v>83</v>
      </c>
      <c r="D110" t="s">
        <v>84</v>
      </c>
      <c r="E110" t="s">
        <v>71</v>
      </c>
      <c r="F110" t="s">
        <v>45</v>
      </c>
      <c r="G110" t="s">
        <v>46</v>
      </c>
      <c r="H110" t="s">
        <v>47</v>
      </c>
      <c r="I110">
        <v>3</v>
      </c>
      <c r="J110">
        <v>1100</v>
      </c>
      <c r="K110">
        <v>3300</v>
      </c>
      <c r="L110" t="s">
        <v>26</v>
      </c>
      <c r="M110" t="s">
        <v>55</v>
      </c>
      <c r="N110" t="s">
        <v>56</v>
      </c>
      <c r="O110" s="2">
        <v>46236</v>
      </c>
      <c r="P110" s="2">
        <v>46237</v>
      </c>
      <c r="Q110" t="s">
        <v>49</v>
      </c>
      <c r="R110" t="s">
        <v>249</v>
      </c>
    </row>
    <row r="111" spans="1:19" x14ac:dyDescent="0.25">
      <c r="A111" t="s">
        <v>250</v>
      </c>
      <c r="B111" s="2">
        <v>46208</v>
      </c>
      <c r="C111" t="s">
        <v>69</v>
      </c>
      <c r="D111" t="s">
        <v>70</v>
      </c>
      <c r="E111" t="s">
        <v>71</v>
      </c>
      <c r="F111" t="s">
        <v>119</v>
      </c>
      <c r="G111" t="s">
        <v>120</v>
      </c>
      <c r="H111" t="s">
        <v>113</v>
      </c>
      <c r="I111">
        <v>4</v>
      </c>
      <c r="J111">
        <v>1400</v>
      </c>
      <c r="K111">
        <v>5600</v>
      </c>
      <c r="L111" t="s">
        <v>61</v>
      </c>
      <c r="M111" t="s">
        <v>55</v>
      </c>
      <c r="N111" t="s">
        <v>67</v>
      </c>
      <c r="O111" s="2">
        <v>46215</v>
      </c>
      <c r="P111" s="2"/>
      <c r="Q111" t="s">
        <v>39</v>
      </c>
    </row>
    <row r="112" spans="1:19" x14ac:dyDescent="0.25">
      <c r="A112" t="s">
        <v>251</v>
      </c>
      <c r="B112" s="2">
        <v>46226</v>
      </c>
      <c r="C112" t="s">
        <v>83</v>
      </c>
      <c r="D112" t="s">
        <v>84</v>
      </c>
      <c r="E112" t="s">
        <v>71</v>
      </c>
      <c r="F112" t="s">
        <v>111</v>
      </c>
      <c r="G112" t="s">
        <v>112</v>
      </c>
      <c r="H112" t="s">
        <v>113</v>
      </c>
      <c r="I112">
        <v>4</v>
      </c>
      <c r="J112">
        <v>1250</v>
      </c>
      <c r="K112">
        <v>5000</v>
      </c>
      <c r="L112" t="s">
        <v>74</v>
      </c>
      <c r="M112" t="s">
        <v>37</v>
      </c>
      <c r="N112" t="s">
        <v>38</v>
      </c>
      <c r="O112" s="2">
        <v>46230</v>
      </c>
      <c r="P112" s="2"/>
      <c r="Q112" t="s">
        <v>101</v>
      </c>
      <c r="S112" t="s">
        <v>40</v>
      </c>
    </row>
    <row r="113" spans="1:17" x14ac:dyDescent="0.25">
      <c r="A113" t="s">
        <v>252</v>
      </c>
      <c r="B113" s="2">
        <v>46236</v>
      </c>
      <c r="C113" t="s">
        <v>31</v>
      </c>
      <c r="D113" t="s">
        <v>32</v>
      </c>
      <c r="E113" t="s">
        <v>33</v>
      </c>
      <c r="F113" t="s">
        <v>177</v>
      </c>
      <c r="G113" t="s">
        <v>178</v>
      </c>
      <c r="H113" t="s">
        <v>113</v>
      </c>
      <c r="I113">
        <v>2</v>
      </c>
      <c r="J113">
        <v>700</v>
      </c>
      <c r="K113">
        <v>1400</v>
      </c>
      <c r="L113" t="s">
        <v>26</v>
      </c>
      <c r="M113" t="s">
        <v>55</v>
      </c>
      <c r="N113" t="s">
        <v>67</v>
      </c>
      <c r="O113" s="2">
        <v>46242</v>
      </c>
      <c r="P113" s="2"/>
      <c r="Q113" t="s">
        <v>39</v>
      </c>
    </row>
    <row r="114" spans="1:17" x14ac:dyDescent="0.25">
      <c r="A114" t="s">
        <v>253</v>
      </c>
      <c r="B114" s="2">
        <v>46232</v>
      </c>
      <c r="C114" t="s">
        <v>109</v>
      </c>
      <c r="D114" t="s">
        <v>110</v>
      </c>
      <c r="E114" t="s">
        <v>105</v>
      </c>
      <c r="F114" t="s">
        <v>97</v>
      </c>
      <c r="G114" t="s">
        <v>98</v>
      </c>
      <c r="H114" t="s">
        <v>47</v>
      </c>
      <c r="I114">
        <v>2</v>
      </c>
      <c r="J114">
        <v>1450</v>
      </c>
      <c r="K114">
        <v>2900</v>
      </c>
      <c r="L114" t="s">
        <v>26</v>
      </c>
      <c r="M114" t="s">
        <v>27</v>
      </c>
      <c r="N114" t="s">
        <v>28</v>
      </c>
      <c r="O114" s="2">
        <v>46238</v>
      </c>
      <c r="P114" s="2">
        <v>46241</v>
      </c>
      <c r="Q114" t="s">
        <v>39</v>
      </c>
    </row>
    <row r="115" spans="1:17" x14ac:dyDescent="0.25">
      <c r="A115" t="s">
        <v>254</v>
      </c>
      <c r="B115" s="2">
        <v>46272</v>
      </c>
      <c r="C115" t="s">
        <v>157</v>
      </c>
      <c r="D115" t="s">
        <v>158</v>
      </c>
      <c r="E115" t="s">
        <v>96</v>
      </c>
      <c r="F115" t="s">
        <v>136</v>
      </c>
      <c r="G115" t="s">
        <v>137</v>
      </c>
      <c r="H115" t="s">
        <v>47</v>
      </c>
      <c r="I115">
        <v>3</v>
      </c>
      <c r="J115">
        <v>650</v>
      </c>
      <c r="K115">
        <v>1950</v>
      </c>
      <c r="L115" t="s">
        <v>26</v>
      </c>
      <c r="M115" t="s">
        <v>55</v>
      </c>
      <c r="N115" t="s">
        <v>28</v>
      </c>
      <c r="O115" s="2">
        <v>46275</v>
      </c>
      <c r="P115" s="2">
        <v>46276</v>
      </c>
      <c r="Q115" t="s">
        <v>29</v>
      </c>
    </row>
    <row r="116" spans="1:17" x14ac:dyDescent="0.25">
      <c r="A116" t="s">
        <v>255</v>
      </c>
      <c r="B116" s="2">
        <v>46264</v>
      </c>
      <c r="C116" t="s">
        <v>184</v>
      </c>
      <c r="D116" t="s">
        <v>185</v>
      </c>
      <c r="E116" t="s">
        <v>88</v>
      </c>
      <c r="F116" t="s">
        <v>141</v>
      </c>
      <c r="G116" t="s">
        <v>142</v>
      </c>
      <c r="H116" t="s">
        <v>47</v>
      </c>
      <c r="I116">
        <v>2</v>
      </c>
      <c r="J116">
        <v>1800</v>
      </c>
      <c r="K116">
        <v>3600</v>
      </c>
      <c r="L116" t="s">
        <v>74</v>
      </c>
      <c r="M116" t="s">
        <v>27</v>
      </c>
      <c r="N116" t="s">
        <v>89</v>
      </c>
      <c r="O116" s="2">
        <v>46267</v>
      </c>
      <c r="P116" s="2"/>
      <c r="Q116" t="s">
        <v>101</v>
      </c>
    </row>
    <row r="117" spans="1:17" x14ac:dyDescent="0.25">
      <c r="A117" t="s">
        <v>256</v>
      </c>
      <c r="B117" s="2">
        <v>46285</v>
      </c>
      <c r="C117" t="s">
        <v>94</v>
      </c>
      <c r="D117" t="s">
        <v>95</v>
      </c>
      <c r="E117" t="s">
        <v>96</v>
      </c>
      <c r="F117" t="s">
        <v>45</v>
      </c>
      <c r="G117" t="s">
        <v>46</v>
      </c>
      <c r="H117" t="s">
        <v>47</v>
      </c>
      <c r="I117">
        <v>1</v>
      </c>
      <c r="J117">
        <v>1100</v>
      </c>
      <c r="K117">
        <v>1100</v>
      </c>
      <c r="L117" t="s">
        <v>26</v>
      </c>
      <c r="M117" t="s">
        <v>27</v>
      </c>
      <c r="N117" t="s">
        <v>67</v>
      </c>
      <c r="O117" s="2">
        <v>46291</v>
      </c>
      <c r="P117" s="2"/>
      <c r="Q117" t="s">
        <v>29</v>
      </c>
    </row>
    <row r="118" spans="1:17" x14ac:dyDescent="0.25">
      <c r="A118" t="s">
        <v>257</v>
      </c>
      <c r="B118" s="2">
        <v>46208</v>
      </c>
      <c r="C118" t="s">
        <v>63</v>
      </c>
      <c r="D118" t="s">
        <v>64</v>
      </c>
      <c r="E118" t="s">
        <v>353</v>
      </c>
      <c r="F118" t="s">
        <v>59</v>
      </c>
      <c r="G118" t="s">
        <v>60</v>
      </c>
      <c r="H118" t="s">
        <v>47</v>
      </c>
      <c r="I118">
        <v>1</v>
      </c>
      <c r="J118">
        <v>350</v>
      </c>
      <c r="K118">
        <v>350</v>
      </c>
      <c r="L118" t="s">
        <v>48</v>
      </c>
      <c r="M118" t="s">
        <v>55</v>
      </c>
      <c r="N118" t="s">
        <v>155</v>
      </c>
      <c r="O118" s="2">
        <v>46213</v>
      </c>
      <c r="P118" s="2"/>
      <c r="Q118" t="s">
        <v>39</v>
      </c>
    </row>
    <row r="119" spans="1:17" x14ac:dyDescent="0.25">
      <c r="A119" t="s">
        <v>258</v>
      </c>
      <c r="B119" s="2">
        <v>46253</v>
      </c>
      <c r="C119" t="s">
        <v>180</v>
      </c>
      <c r="D119" t="s">
        <v>181</v>
      </c>
      <c r="E119" t="s">
        <v>33</v>
      </c>
      <c r="F119" t="s">
        <v>23</v>
      </c>
      <c r="G119" t="s">
        <v>24</v>
      </c>
      <c r="H119" t="s">
        <v>25</v>
      </c>
      <c r="I119">
        <v>2</v>
      </c>
      <c r="J119">
        <v>120</v>
      </c>
      <c r="K119">
        <v>240</v>
      </c>
      <c r="L119" t="s">
        <v>74</v>
      </c>
      <c r="M119" t="s">
        <v>55</v>
      </c>
      <c r="N119" t="s">
        <v>67</v>
      </c>
      <c r="O119" s="2">
        <v>46259</v>
      </c>
      <c r="P119" s="2"/>
      <c r="Q119" t="s">
        <v>29</v>
      </c>
    </row>
    <row r="120" spans="1:17" x14ac:dyDescent="0.25">
      <c r="A120" t="s">
        <v>259</v>
      </c>
      <c r="B120" s="2">
        <v>46287</v>
      </c>
      <c r="C120" t="s">
        <v>86</v>
      </c>
      <c r="D120" t="s">
        <v>87</v>
      </c>
      <c r="E120" t="s">
        <v>88</v>
      </c>
      <c r="F120" t="s">
        <v>59</v>
      </c>
      <c r="G120" t="s">
        <v>60</v>
      </c>
      <c r="H120" t="s">
        <v>47</v>
      </c>
      <c r="I120">
        <v>4</v>
      </c>
      <c r="J120">
        <v>350</v>
      </c>
      <c r="K120">
        <v>1400</v>
      </c>
      <c r="L120" t="s">
        <v>74</v>
      </c>
      <c r="M120" t="s">
        <v>55</v>
      </c>
      <c r="N120" t="s">
        <v>260</v>
      </c>
      <c r="O120" s="2">
        <v>46290</v>
      </c>
      <c r="P120" s="2"/>
      <c r="Q120" t="s">
        <v>29</v>
      </c>
    </row>
    <row r="121" spans="1:17" x14ac:dyDescent="0.25">
      <c r="A121" t="s">
        <v>261</v>
      </c>
      <c r="B121" s="2">
        <v>46231</v>
      </c>
      <c r="C121" t="s">
        <v>103</v>
      </c>
      <c r="D121" t="s">
        <v>104</v>
      </c>
      <c r="E121" t="s">
        <v>105</v>
      </c>
      <c r="F121" t="s">
        <v>53</v>
      </c>
      <c r="G121" t="s">
        <v>54</v>
      </c>
      <c r="H121" t="s">
        <v>47</v>
      </c>
      <c r="I121">
        <v>3</v>
      </c>
      <c r="J121">
        <v>850</v>
      </c>
      <c r="K121">
        <v>2550</v>
      </c>
      <c r="L121" t="s">
        <v>26</v>
      </c>
      <c r="M121" t="s">
        <v>55</v>
      </c>
      <c r="N121" t="s">
        <v>28</v>
      </c>
      <c r="O121" s="2">
        <v>46237</v>
      </c>
      <c r="P121" s="2">
        <v>46238</v>
      </c>
      <c r="Q121" t="s">
        <v>39</v>
      </c>
    </row>
    <row r="122" spans="1:17" x14ac:dyDescent="0.25">
      <c r="A122" t="s">
        <v>262</v>
      </c>
      <c r="B122" s="2">
        <v>46211</v>
      </c>
      <c r="C122" t="s">
        <v>184</v>
      </c>
      <c r="D122" t="s">
        <v>185</v>
      </c>
      <c r="E122" t="s">
        <v>88</v>
      </c>
      <c r="F122" t="s">
        <v>23</v>
      </c>
      <c r="G122" t="s">
        <v>24</v>
      </c>
      <c r="H122" t="s">
        <v>25</v>
      </c>
      <c r="I122">
        <v>3</v>
      </c>
      <c r="J122">
        <v>120</v>
      </c>
      <c r="K122">
        <v>360</v>
      </c>
      <c r="L122" t="s">
        <v>48</v>
      </c>
      <c r="M122" t="s">
        <v>55</v>
      </c>
      <c r="N122" t="s">
        <v>28</v>
      </c>
      <c r="O122" s="2">
        <v>46217</v>
      </c>
      <c r="P122" s="2">
        <v>46217</v>
      </c>
      <c r="Q122" t="s">
        <v>29</v>
      </c>
    </row>
    <row r="123" spans="1:17" x14ac:dyDescent="0.25">
      <c r="A123" t="s">
        <v>263</v>
      </c>
      <c r="B123" s="2">
        <v>46210</v>
      </c>
      <c r="C123" t="s">
        <v>51</v>
      </c>
      <c r="D123" t="s">
        <v>52</v>
      </c>
      <c r="E123" t="s">
        <v>44</v>
      </c>
      <c r="F123" t="s">
        <v>106</v>
      </c>
      <c r="G123" t="s">
        <v>107</v>
      </c>
      <c r="H123" t="s">
        <v>47</v>
      </c>
      <c r="I123">
        <v>1</v>
      </c>
      <c r="J123">
        <v>2500</v>
      </c>
      <c r="K123">
        <v>2500</v>
      </c>
      <c r="L123" t="s">
        <v>74</v>
      </c>
      <c r="M123" t="s">
        <v>55</v>
      </c>
      <c r="N123" t="s">
        <v>28</v>
      </c>
      <c r="O123" s="2">
        <v>46215</v>
      </c>
      <c r="P123" s="2">
        <v>46215</v>
      </c>
      <c r="Q123" t="s">
        <v>49</v>
      </c>
    </row>
    <row r="124" spans="1:17" x14ac:dyDescent="0.25">
      <c r="A124" t="s">
        <v>264</v>
      </c>
      <c r="B124" s="2">
        <v>46279</v>
      </c>
      <c r="C124" t="s">
        <v>51</v>
      </c>
      <c r="D124" t="s">
        <v>52</v>
      </c>
      <c r="E124" t="s">
        <v>44</v>
      </c>
      <c r="F124" t="s">
        <v>23</v>
      </c>
      <c r="G124" t="s">
        <v>24</v>
      </c>
      <c r="H124" t="s">
        <v>25</v>
      </c>
      <c r="I124">
        <v>2</v>
      </c>
      <c r="J124">
        <v>120</v>
      </c>
      <c r="K124">
        <v>240</v>
      </c>
      <c r="L124" t="s">
        <v>26</v>
      </c>
      <c r="M124" t="s">
        <v>55</v>
      </c>
      <c r="N124" t="s">
        <v>28</v>
      </c>
      <c r="O124" s="2">
        <v>46283</v>
      </c>
      <c r="P124" s="2">
        <v>46286</v>
      </c>
      <c r="Q124" t="s">
        <v>49</v>
      </c>
    </row>
    <row r="125" spans="1:17" x14ac:dyDescent="0.25">
      <c r="A125" t="s">
        <v>265</v>
      </c>
      <c r="B125" s="2">
        <v>46222</v>
      </c>
      <c r="C125" t="s">
        <v>94</v>
      </c>
      <c r="D125" t="s">
        <v>95</v>
      </c>
      <c r="E125" t="s">
        <v>96</v>
      </c>
      <c r="F125" t="s">
        <v>136</v>
      </c>
      <c r="G125" t="s">
        <v>137</v>
      </c>
      <c r="H125" t="s">
        <v>47</v>
      </c>
      <c r="I125">
        <v>3</v>
      </c>
      <c r="J125">
        <v>650</v>
      </c>
      <c r="K125">
        <v>1950</v>
      </c>
      <c r="L125" t="s">
        <v>61</v>
      </c>
      <c r="M125" t="s">
        <v>55</v>
      </c>
      <c r="N125" t="s">
        <v>28</v>
      </c>
      <c r="O125" s="2">
        <v>46226</v>
      </c>
      <c r="P125" s="2">
        <v>46227</v>
      </c>
      <c r="Q125" t="s">
        <v>39</v>
      </c>
    </row>
    <row r="126" spans="1:17" x14ac:dyDescent="0.25">
      <c r="A126" t="s">
        <v>266</v>
      </c>
      <c r="B126" s="2">
        <v>46249</v>
      </c>
      <c r="C126" t="s">
        <v>206</v>
      </c>
      <c r="D126" t="s">
        <v>207</v>
      </c>
      <c r="E126" t="s">
        <v>105</v>
      </c>
      <c r="F126" t="s">
        <v>59</v>
      </c>
      <c r="G126" t="s">
        <v>60</v>
      </c>
      <c r="H126" t="s">
        <v>47</v>
      </c>
      <c r="I126">
        <v>1</v>
      </c>
      <c r="J126">
        <v>350</v>
      </c>
      <c r="K126">
        <v>350</v>
      </c>
      <c r="L126" t="s">
        <v>26</v>
      </c>
      <c r="M126" t="s">
        <v>27</v>
      </c>
      <c r="N126" t="s">
        <v>100</v>
      </c>
      <c r="O126" s="2">
        <v>46253</v>
      </c>
      <c r="P126" s="2"/>
      <c r="Q126" t="s">
        <v>39</v>
      </c>
    </row>
    <row r="127" spans="1:17" x14ac:dyDescent="0.25">
      <c r="A127" t="s">
        <v>267</v>
      </c>
      <c r="B127" s="2">
        <v>46220</v>
      </c>
      <c r="C127" t="s">
        <v>139</v>
      </c>
      <c r="D127" t="s">
        <v>140</v>
      </c>
      <c r="E127" t="s">
        <v>96</v>
      </c>
      <c r="F127" t="s">
        <v>177</v>
      </c>
      <c r="G127" t="s">
        <v>178</v>
      </c>
      <c r="H127" t="s">
        <v>113</v>
      </c>
      <c r="I127">
        <v>1</v>
      </c>
      <c r="J127">
        <v>700</v>
      </c>
      <c r="K127">
        <v>700</v>
      </c>
      <c r="L127" t="s">
        <v>48</v>
      </c>
      <c r="M127" t="s">
        <v>27</v>
      </c>
      <c r="N127" t="s">
        <v>67</v>
      </c>
      <c r="O127" s="2">
        <v>46226</v>
      </c>
      <c r="P127" s="2"/>
      <c r="Q127" t="s">
        <v>39</v>
      </c>
    </row>
    <row r="128" spans="1:17" x14ac:dyDescent="0.25">
      <c r="A128" t="s">
        <v>268</v>
      </c>
      <c r="B128" s="2">
        <v>46269</v>
      </c>
      <c r="C128" t="s">
        <v>196</v>
      </c>
      <c r="D128" t="s">
        <v>197</v>
      </c>
      <c r="E128" t="s">
        <v>71</v>
      </c>
      <c r="F128" t="s">
        <v>34</v>
      </c>
      <c r="G128" t="s">
        <v>35</v>
      </c>
      <c r="H128" t="s">
        <v>36</v>
      </c>
      <c r="I128">
        <v>3</v>
      </c>
      <c r="J128">
        <v>3200</v>
      </c>
      <c r="K128">
        <v>9600</v>
      </c>
      <c r="L128" t="s">
        <v>74</v>
      </c>
      <c r="M128" t="s">
        <v>55</v>
      </c>
      <c r="N128" t="s">
        <v>28</v>
      </c>
      <c r="O128" s="2">
        <v>46276</v>
      </c>
      <c r="P128" s="2">
        <v>46275</v>
      </c>
      <c r="Q128" t="s">
        <v>49</v>
      </c>
    </row>
    <row r="129" spans="1:19" x14ac:dyDescent="0.25">
      <c r="A129" t="s">
        <v>269</v>
      </c>
      <c r="B129" s="2">
        <v>46262</v>
      </c>
      <c r="C129" t="s">
        <v>94</v>
      </c>
      <c r="D129" t="s">
        <v>95</v>
      </c>
      <c r="E129" t="s">
        <v>96</v>
      </c>
      <c r="F129" t="s">
        <v>53</v>
      </c>
      <c r="G129" t="s">
        <v>54</v>
      </c>
      <c r="H129" t="s">
        <v>47</v>
      </c>
      <c r="I129">
        <v>3</v>
      </c>
      <c r="J129">
        <v>850</v>
      </c>
      <c r="K129">
        <v>2550</v>
      </c>
      <c r="L129" t="s">
        <v>79</v>
      </c>
      <c r="M129" t="s">
        <v>55</v>
      </c>
      <c r="N129" t="s">
        <v>28</v>
      </c>
      <c r="O129" s="2">
        <v>46265</v>
      </c>
      <c r="P129" s="2">
        <v>46264</v>
      </c>
      <c r="Q129" t="s">
        <v>29</v>
      </c>
    </row>
    <row r="130" spans="1:19" x14ac:dyDescent="0.25">
      <c r="A130" t="s">
        <v>270</v>
      </c>
      <c r="B130" s="2">
        <v>46213</v>
      </c>
      <c r="C130" t="s">
        <v>63</v>
      </c>
      <c r="D130" t="s">
        <v>64</v>
      </c>
      <c r="E130" t="s">
        <v>353</v>
      </c>
      <c r="F130" t="s">
        <v>233</v>
      </c>
      <c r="G130" t="s">
        <v>234</v>
      </c>
      <c r="H130" t="s">
        <v>36</v>
      </c>
      <c r="I130">
        <v>4</v>
      </c>
      <c r="J130">
        <v>750</v>
      </c>
      <c r="K130">
        <v>3000</v>
      </c>
      <c r="L130" t="s">
        <v>61</v>
      </c>
      <c r="M130" t="s">
        <v>27</v>
      </c>
      <c r="N130" t="s">
        <v>28</v>
      </c>
      <c r="O130" s="2">
        <v>46216</v>
      </c>
      <c r="P130" s="2">
        <v>46216</v>
      </c>
      <c r="Q130" t="s">
        <v>39</v>
      </c>
    </row>
    <row r="131" spans="1:19" x14ac:dyDescent="0.25">
      <c r="A131" t="s">
        <v>271</v>
      </c>
      <c r="B131" s="2">
        <v>46252</v>
      </c>
      <c r="C131" t="s">
        <v>76</v>
      </c>
      <c r="D131" t="s">
        <v>77</v>
      </c>
      <c r="E131" t="s">
        <v>88</v>
      </c>
      <c r="F131" t="s">
        <v>177</v>
      </c>
      <c r="G131" t="s">
        <v>178</v>
      </c>
      <c r="H131" t="s">
        <v>113</v>
      </c>
      <c r="I131">
        <v>3</v>
      </c>
      <c r="J131">
        <v>700</v>
      </c>
      <c r="K131">
        <v>2100</v>
      </c>
      <c r="L131" t="s">
        <v>79</v>
      </c>
      <c r="M131" t="s">
        <v>55</v>
      </c>
      <c r="N131" t="s">
        <v>28</v>
      </c>
      <c r="O131" s="2">
        <v>46259</v>
      </c>
      <c r="P131" s="2">
        <v>46260</v>
      </c>
      <c r="Q131" t="s">
        <v>29</v>
      </c>
    </row>
    <row r="132" spans="1:19" x14ac:dyDescent="0.25">
      <c r="A132" t="s">
        <v>272</v>
      </c>
      <c r="B132" s="2">
        <v>46259</v>
      </c>
      <c r="C132" t="s">
        <v>63</v>
      </c>
      <c r="D132" t="s">
        <v>64</v>
      </c>
      <c r="E132" t="s">
        <v>353</v>
      </c>
      <c r="F132" t="s">
        <v>141</v>
      </c>
      <c r="G132" t="s">
        <v>142</v>
      </c>
      <c r="H132" t="s">
        <v>47</v>
      </c>
      <c r="I132">
        <v>2</v>
      </c>
      <c r="J132">
        <v>1800</v>
      </c>
      <c r="K132">
        <v>3600</v>
      </c>
      <c r="L132" t="s">
        <v>26</v>
      </c>
      <c r="M132" t="s">
        <v>55</v>
      </c>
      <c r="N132" t="s">
        <v>28</v>
      </c>
      <c r="O132" s="2">
        <v>46265</v>
      </c>
      <c r="P132" s="2">
        <v>46265</v>
      </c>
      <c r="Q132" t="s">
        <v>29</v>
      </c>
    </row>
    <row r="133" spans="1:19" x14ac:dyDescent="0.25">
      <c r="A133" t="s">
        <v>273</v>
      </c>
      <c r="B133" s="2">
        <v>46244</v>
      </c>
      <c r="C133" t="s">
        <v>157</v>
      </c>
      <c r="D133" t="s">
        <v>158</v>
      </c>
      <c r="E133" t="s">
        <v>96</v>
      </c>
      <c r="F133" t="s">
        <v>65</v>
      </c>
      <c r="G133" t="s">
        <v>66</v>
      </c>
      <c r="H133" t="s">
        <v>36</v>
      </c>
      <c r="I133">
        <v>1</v>
      </c>
      <c r="J133">
        <v>500</v>
      </c>
      <c r="K133">
        <v>500</v>
      </c>
      <c r="L133" t="s">
        <v>26</v>
      </c>
      <c r="M133" t="s">
        <v>27</v>
      </c>
      <c r="N133" t="s">
        <v>28</v>
      </c>
      <c r="O133" s="2">
        <v>46250</v>
      </c>
      <c r="P133" s="2">
        <v>46250</v>
      </c>
      <c r="Q133" t="s">
        <v>101</v>
      </c>
    </row>
    <row r="134" spans="1:19" x14ac:dyDescent="0.25">
      <c r="A134" t="s">
        <v>274</v>
      </c>
      <c r="B134" s="2">
        <v>46215</v>
      </c>
      <c r="C134" t="s">
        <v>76</v>
      </c>
      <c r="D134" t="s">
        <v>77</v>
      </c>
      <c r="E134" t="s">
        <v>88</v>
      </c>
      <c r="F134" t="s">
        <v>233</v>
      </c>
      <c r="G134" t="s">
        <v>234</v>
      </c>
      <c r="H134" t="s">
        <v>36</v>
      </c>
      <c r="I134">
        <v>1</v>
      </c>
      <c r="J134">
        <v>750</v>
      </c>
      <c r="K134">
        <v>750</v>
      </c>
      <c r="L134" t="s">
        <v>48</v>
      </c>
      <c r="M134" t="s">
        <v>55</v>
      </c>
      <c r="N134" t="s">
        <v>28</v>
      </c>
      <c r="O134" s="2">
        <v>46218</v>
      </c>
      <c r="P134" s="2">
        <v>46217</v>
      </c>
      <c r="Q134" t="s">
        <v>101</v>
      </c>
    </row>
    <row r="135" spans="1:19" x14ac:dyDescent="0.25">
      <c r="A135" t="s">
        <v>275</v>
      </c>
      <c r="B135" s="2">
        <v>46279</v>
      </c>
      <c r="C135" t="s">
        <v>76</v>
      </c>
      <c r="D135" t="s">
        <v>77</v>
      </c>
      <c r="E135" t="s">
        <v>88</v>
      </c>
      <c r="F135" t="s">
        <v>23</v>
      </c>
      <c r="G135" t="s">
        <v>24</v>
      </c>
      <c r="H135" t="s">
        <v>25</v>
      </c>
      <c r="I135">
        <v>1</v>
      </c>
      <c r="J135">
        <v>120</v>
      </c>
      <c r="K135">
        <v>120</v>
      </c>
      <c r="L135" t="s">
        <v>26</v>
      </c>
      <c r="M135" t="s">
        <v>27</v>
      </c>
      <c r="N135" t="s">
        <v>67</v>
      </c>
      <c r="O135" s="2">
        <v>46286</v>
      </c>
      <c r="P135" s="2"/>
      <c r="Q135" t="s">
        <v>39</v>
      </c>
    </row>
    <row r="136" spans="1:19" x14ac:dyDescent="0.25">
      <c r="A136" t="s">
        <v>276</v>
      </c>
      <c r="B136" s="2">
        <v>46210</v>
      </c>
      <c r="C136" t="s">
        <v>129</v>
      </c>
      <c r="D136" t="s">
        <v>130</v>
      </c>
      <c r="E136" t="s">
        <v>22</v>
      </c>
      <c r="F136" t="s">
        <v>133</v>
      </c>
      <c r="G136" t="s">
        <v>134</v>
      </c>
      <c r="H136" t="s">
        <v>113</v>
      </c>
      <c r="I136">
        <v>4</v>
      </c>
      <c r="J136">
        <v>2200</v>
      </c>
      <c r="K136">
        <v>8800</v>
      </c>
      <c r="L136" t="s">
        <v>26</v>
      </c>
      <c r="M136" t="s">
        <v>55</v>
      </c>
      <c r="N136" t="s">
        <v>56</v>
      </c>
      <c r="O136" s="2">
        <v>46215</v>
      </c>
      <c r="P136" s="2">
        <v>46216</v>
      </c>
      <c r="Q136" t="s">
        <v>101</v>
      </c>
      <c r="R136" t="s">
        <v>249</v>
      </c>
    </row>
    <row r="137" spans="1:19" x14ac:dyDescent="0.25">
      <c r="A137" t="s">
        <v>277</v>
      </c>
      <c r="B137" s="2">
        <v>46223</v>
      </c>
      <c r="C137" t="s">
        <v>86</v>
      </c>
      <c r="D137" t="s">
        <v>87</v>
      </c>
      <c r="E137" t="s">
        <v>88</v>
      </c>
      <c r="F137" t="s">
        <v>91</v>
      </c>
      <c r="G137" t="s">
        <v>92</v>
      </c>
      <c r="H137" t="s">
        <v>25</v>
      </c>
      <c r="I137">
        <v>2</v>
      </c>
      <c r="J137">
        <v>180</v>
      </c>
      <c r="K137">
        <v>360</v>
      </c>
      <c r="L137" t="s">
        <v>48</v>
      </c>
      <c r="M137" t="s">
        <v>55</v>
      </c>
      <c r="N137" t="s">
        <v>100</v>
      </c>
      <c r="O137" s="2">
        <v>46229</v>
      </c>
      <c r="P137" s="2"/>
      <c r="Q137" t="s">
        <v>101</v>
      </c>
    </row>
    <row r="138" spans="1:19" x14ac:dyDescent="0.25">
      <c r="A138" t="s">
        <v>278</v>
      </c>
      <c r="B138" s="2">
        <v>46239</v>
      </c>
      <c r="C138" t="s">
        <v>42</v>
      </c>
      <c r="D138" t="s">
        <v>43</v>
      </c>
      <c r="E138" t="s">
        <v>44</v>
      </c>
      <c r="F138" t="s">
        <v>133</v>
      </c>
      <c r="G138" t="s">
        <v>134</v>
      </c>
      <c r="H138" t="s">
        <v>113</v>
      </c>
      <c r="I138">
        <v>1</v>
      </c>
      <c r="J138">
        <v>2200</v>
      </c>
      <c r="K138">
        <v>2200</v>
      </c>
      <c r="L138" t="s">
        <v>74</v>
      </c>
      <c r="M138" t="s">
        <v>55</v>
      </c>
      <c r="N138" t="s">
        <v>28</v>
      </c>
      <c r="O138" s="2">
        <v>46246</v>
      </c>
      <c r="P138" s="2">
        <v>46246</v>
      </c>
      <c r="Q138" t="s">
        <v>39</v>
      </c>
    </row>
    <row r="139" spans="1:19" x14ac:dyDescent="0.25">
      <c r="A139" t="s">
        <v>279</v>
      </c>
      <c r="B139" s="2">
        <v>46227</v>
      </c>
      <c r="C139" t="s">
        <v>94</v>
      </c>
      <c r="D139" t="s">
        <v>95</v>
      </c>
      <c r="E139" t="s">
        <v>96</v>
      </c>
      <c r="F139" t="s">
        <v>177</v>
      </c>
      <c r="G139" t="s">
        <v>178</v>
      </c>
      <c r="H139" t="s">
        <v>113</v>
      </c>
      <c r="I139">
        <v>1</v>
      </c>
      <c r="J139">
        <v>700</v>
      </c>
      <c r="K139">
        <v>700</v>
      </c>
      <c r="L139" t="s">
        <v>26</v>
      </c>
      <c r="M139" t="s">
        <v>203</v>
      </c>
      <c r="N139" t="s">
        <v>38</v>
      </c>
      <c r="O139" s="2">
        <v>46232</v>
      </c>
      <c r="P139" s="2"/>
      <c r="Q139" t="s">
        <v>101</v>
      </c>
      <c r="S139" t="s">
        <v>280</v>
      </c>
    </row>
    <row r="140" spans="1:19" x14ac:dyDescent="0.25">
      <c r="A140" t="s">
        <v>281</v>
      </c>
      <c r="B140" s="2">
        <v>46276</v>
      </c>
      <c r="C140" t="s">
        <v>206</v>
      </c>
      <c r="D140" t="s">
        <v>207</v>
      </c>
      <c r="E140" t="s">
        <v>105</v>
      </c>
      <c r="F140" t="s">
        <v>116</v>
      </c>
      <c r="G140" t="s">
        <v>117</v>
      </c>
      <c r="H140" t="s">
        <v>47</v>
      </c>
      <c r="I140">
        <v>2</v>
      </c>
      <c r="J140">
        <v>1200</v>
      </c>
      <c r="K140">
        <v>2400</v>
      </c>
      <c r="L140" t="s">
        <v>61</v>
      </c>
      <c r="M140" t="s">
        <v>55</v>
      </c>
      <c r="N140" t="s">
        <v>155</v>
      </c>
      <c r="O140" s="2">
        <v>46282</v>
      </c>
      <c r="P140" s="2"/>
      <c r="Q140" t="s">
        <v>39</v>
      </c>
    </row>
    <row r="141" spans="1:19" x14ac:dyDescent="0.25">
      <c r="A141" t="s">
        <v>282</v>
      </c>
      <c r="B141" s="2">
        <v>46252</v>
      </c>
      <c r="C141" t="s">
        <v>51</v>
      </c>
      <c r="D141" t="s">
        <v>52</v>
      </c>
      <c r="E141" t="s">
        <v>44</v>
      </c>
      <c r="F141" t="s">
        <v>91</v>
      </c>
      <c r="G141" t="s">
        <v>92</v>
      </c>
      <c r="H141" t="s">
        <v>25</v>
      </c>
      <c r="I141">
        <v>2</v>
      </c>
      <c r="J141">
        <v>180</v>
      </c>
      <c r="K141">
        <v>360</v>
      </c>
      <c r="L141" t="s">
        <v>61</v>
      </c>
      <c r="M141" t="s">
        <v>55</v>
      </c>
      <c r="N141" t="s">
        <v>28</v>
      </c>
      <c r="O141" s="2">
        <v>46258</v>
      </c>
      <c r="P141" s="2">
        <v>46259</v>
      </c>
      <c r="Q141" t="s">
        <v>101</v>
      </c>
    </row>
    <row r="142" spans="1:19" x14ac:dyDescent="0.25">
      <c r="A142" t="s">
        <v>283</v>
      </c>
      <c r="B142" s="2">
        <v>46210</v>
      </c>
      <c r="C142" t="s">
        <v>83</v>
      </c>
      <c r="D142" t="s">
        <v>84</v>
      </c>
      <c r="E142" t="s">
        <v>71</v>
      </c>
      <c r="F142" t="s">
        <v>111</v>
      </c>
      <c r="G142" t="s">
        <v>112</v>
      </c>
      <c r="H142" t="s">
        <v>113</v>
      </c>
      <c r="I142">
        <v>1</v>
      </c>
      <c r="J142">
        <v>1250</v>
      </c>
      <c r="K142">
        <v>1250</v>
      </c>
      <c r="L142" t="s">
        <v>48</v>
      </c>
      <c r="M142" t="s">
        <v>27</v>
      </c>
      <c r="N142" t="s">
        <v>28</v>
      </c>
      <c r="O142" s="2">
        <v>46214</v>
      </c>
      <c r="P142" s="2">
        <v>46214</v>
      </c>
      <c r="Q142" t="s">
        <v>39</v>
      </c>
    </row>
    <row r="143" spans="1:19" x14ac:dyDescent="0.25">
      <c r="A143" t="s">
        <v>284</v>
      </c>
      <c r="B143" s="2">
        <v>46266</v>
      </c>
      <c r="C143" t="s">
        <v>103</v>
      </c>
      <c r="D143" t="s">
        <v>104</v>
      </c>
      <c r="E143" t="s">
        <v>105</v>
      </c>
      <c r="F143" t="s">
        <v>34</v>
      </c>
      <c r="G143" t="s">
        <v>35</v>
      </c>
      <c r="H143" t="s">
        <v>36</v>
      </c>
      <c r="I143">
        <v>4</v>
      </c>
      <c r="J143">
        <v>3200</v>
      </c>
      <c r="K143">
        <v>12800</v>
      </c>
      <c r="L143" t="s">
        <v>79</v>
      </c>
      <c r="M143" t="s">
        <v>55</v>
      </c>
      <c r="N143" t="s">
        <v>155</v>
      </c>
      <c r="O143" s="2">
        <v>46273</v>
      </c>
      <c r="P143" s="2"/>
      <c r="Q143" t="s">
        <v>101</v>
      </c>
    </row>
    <row r="144" spans="1:19" x14ac:dyDescent="0.25">
      <c r="A144" t="s">
        <v>285</v>
      </c>
      <c r="B144" s="2">
        <v>46248</v>
      </c>
      <c r="C144" t="s">
        <v>20</v>
      </c>
      <c r="D144" t="s">
        <v>21</v>
      </c>
      <c r="E144" t="s">
        <v>22</v>
      </c>
      <c r="F144" t="s">
        <v>91</v>
      </c>
      <c r="G144" t="s">
        <v>92</v>
      </c>
      <c r="H144" t="s">
        <v>25</v>
      </c>
      <c r="I144">
        <v>1</v>
      </c>
      <c r="J144">
        <v>180</v>
      </c>
      <c r="K144">
        <v>180</v>
      </c>
      <c r="L144" t="s">
        <v>74</v>
      </c>
      <c r="M144" t="s">
        <v>55</v>
      </c>
      <c r="N144" t="s">
        <v>28</v>
      </c>
      <c r="O144" s="2">
        <v>46254</v>
      </c>
      <c r="P144" s="2">
        <v>46253</v>
      </c>
      <c r="Q144" t="s">
        <v>29</v>
      </c>
    </row>
    <row r="145" spans="1:19" x14ac:dyDescent="0.25">
      <c r="A145" t="s">
        <v>286</v>
      </c>
      <c r="B145" s="2">
        <v>46232</v>
      </c>
      <c r="C145" t="s">
        <v>31</v>
      </c>
      <c r="D145" t="s">
        <v>32</v>
      </c>
      <c r="E145" t="s">
        <v>33</v>
      </c>
      <c r="F145" t="s">
        <v>119</v>
      </c>
      <c r="G145" t="s">
        <v>120</v>
      </c>
      <c r="H145" t="s">
        <v>113</v>
      </c>
      <c r="I145">
        <v>1</v>
      </c>
      <c r="J145">
        <v>1400</v>
      </c>
      <c r="K145">
        <v>1400</v>
      </c>
      <c r="L145" t="s">
        <v>48</v>
      </c>
      <c r="M145" t="s">
        <v>55</v>
      </c>
      <c r="N145" t="s">
        <v>28</v>
      </c>
      <c r="O145" s="2">
        <v>46238</v>
      </c>
      <c r="P145" s="2">
        <v>46239</v>
      </c>
      <c r="Q145" t="s">
        <v>49</v>
      </c>
    </row>
    <row r="146" spans="1:19" x14ac:dyDescent="0.25">
      <c r="A146" t="s">
        <v>287</v>
      </c>
      <c r="B146" s="2">
        <v>46236</v>
      </c>
      <c r="C146" t="s">
        <v>83</v>
      </c>
      <c r="D146" t="s">
        <v>84</v>
      </c>
      <c r="E146" t="s">
        <v>71</v>
      </c>
      <c r="F146" t="s">
        <v>106</v>
      </c>
      <c r="G146" t="s">
        <v>107</v>
      </c>
      <c r="H146" t="s">
        <v>47</v>
      </c>
      <c r="I146">
        <v>2</v>
      </c>
      <c r="J146">
        <v>2500</v>
      </c>
      <c r="K146">
        <v>5000</v>
      </c>
      <c r="L146" t="s">
        <v>48</v>
      </c>
      <c r="M146" t="s">
        <v>55</v>
      </c>
      <c r="N146" t="s">
        <v>28</v>
      </c>
      <c r="O146" s="2">
        <v>46241</v>
      </c>
      <c r="P146" s="2">
        <v>46241</v>
      </c>
      <c r="Q146" t="s">
        <v>29</v>
      </c>
    </row>
    <row r="147" spans="1:19" x14ac:dyDescent="0.25">
      <c r="A147" t="s">
        <v>288</v>
      </c>
      <c r="B147" s="2">
        <v>46252</v>
      </c>
      <c r="C147" t="s">
        <v>129</v>
      </c>
      <c r="D147" t="s">
        <v>130</v>
      </c>
      <c r="E147" t="s">
        <v>22</v>
      </c>
      <c r="F147" t="s">
        <v>116</v>
      </c>
      <c r="G147" t="s">
        <v>117</v>
      </c>
      <c r="H147" t="s">
        <v>47</v>
      </c>
      <c r="I147">
        <v>2</v>
      </c>
      <c r="J147">
        <v>1200</v>
      </c>
      <c r="K147">
        <v>2400</v>
      </c>
      <c r="L147" t="s">
        <v>74</v>
      </c>
      <c r="M147" t="s">
        <v>55</v>
      </c>
      <c r="N147" t="s">
        <v>28</v>
      </c>
      <c r="O147" s="2">
        <v>46259</v>
      </c>
      <c r="P147" s="2">
        <v>46261</v>
      </c>
      <c r="Q147" t="s">
        <v>101</v>
      </c>
    </row>
    <row r="148" spans="1:19" x14ac:dyDescent="0.25">
      <c r="A148" t="s">
        <v>289</v>
      </c>
      <c r="B148" s="2">
        <v>46259</v>
      </c>
      <c r="C148" t="s">
        <v>51</v>
      </c>
      <c r="D148" t="s">
        <v>52</v>
      </c>
      <c r="E148" t="s">
        <v>44</v>
      </c>
      <c r="F148" t="s">
        <v>72</v>
      </c>
      <c r="G148" t="s">
        <v>73</v>
      </c>
      <c r="H148" t="s">
        <v>36</v>
      </c>
      <c r="I148">
        <v>1</v>
      </c>
      <c r="J148">
        <v>950</v>
      </c>
      <c r="K148">
        <v>950</v>
      </c>
      <c r="L148" t="s">
        <v>48</v>
      </c>
      <c r="M148" t="s">
        <v>55</v>
      </c>
      <c r="N148" t="s">
        <v>155</v>
      </c>
      <c r="O148" s="2">
        <v>46262</v>
      </c>
      <c r="P148" s="2"/>
      <c r="Q148" t="s">
        <v>101</v>
      </c>
    </row>
    <row r="149" spans="1:19" x14ac:dyDescent="0.25">
      <c r="A149" t="s">
        <v>290</v>
      </c>
      <c r="B149" s="2">
        <v>46294</v>
      </c>
      <c r="C149" t="s">
        <v>86</v>
      </c>
      <c r="D149" t="s">
        <v>87</v>
      </c>
      <c r="E149" t="s">
        <v>88</v>
      </c>
      <c r="F149" t="s">
        <v>65</v>
      </c>
      <c r="G149" t="s">
        <v>66</v>
      </c>
      <c r="H149" t="s">
        <v>36</v>
      </c>
      <c r="I149">
        <v>4</v>
      </c>
      <c r="J149">
        <v>500</v>
      </c>
      <c r="K149">
        <v>2000</v>
      </c>
      <c r="L149" t="s">
        <v>79</v>
      </c>
      <c r="M149" t="s">
        <v>55</v>
      </c>
      <c r="N149" t="s">
        <v>28</v>
      </c>
      <c r="O149" s="2">
        <v>46300</v>
      </c>
      <c r="P149" s="2">
        <v>46300</v>
      </c>
      <c r="Q149" t="s">
        <v>39</v>
      </c>
    </row>
    <row r="150" spans="1:19" x14ac:dyDescent="0.25">
      <c r="A150" t="s">
        <v>291</v>
      </c>
      <c r="B150" s="2">
        <v>46292</v>
      </c>
      <c r="C150" t="s">
        <v>125</v>
      </c>
      <c r="D150" t="s">
        <v>126</v>
      </c>
      <c r="E150" t="s">
        <v>44</v>
      </c>
      <c r="F150" t="s">
        <v>116</v>
      </c>
      <c r="G150" t="s">
        <v>117</v>
      </c>
      <c r="H150" t="s">
        <v>47</v>
      </c>
      <c r="I150">
        <v>4</v>
      </c>
      <c r="J150">
        <v>1200</v>
      </c>
      <c r="K150">
        <v>4800</v>
      </c>
      <c r="L150" t="s">
        <v>48</v>
      </c>
      <c r="M150" t="s">
        <v>55</v>
      </c>
      <c r="N150" t="s">
        <v>28</v>
      </c>
      <c r="O150" s="2">
        <v>46297</v>
      </c>
      <c r="P150" s="2">
        <v>46296</v>
      </c>
      <c r="Q150" t="s">
        <v>49</v>
      </c>
    </row>
    <row r="151" spans="1:19" x14ac:dyDescent="0.25">
      <c r="A151" t="s">
        <v>292</v>
      </c>
      <c r="B151" s="2">
        <v>46271</v>
      </c>
      <c r="C151" t="s">
        <v>129</v>
      </c>
      <c r="D151" t="s">
        <v>130</v>
      </c>
      <c r="E151" t="s">
        <v>22</v>
      </c>
      <c r="F151" t="s">
        <v>147</v>
      </c>
      <c r="G151" t="s">
        <v>148</v>
      </c>
      <c r="H151" t="s">
        <v>25</v>
      </c>
      <c r="I151">
        <v>4</v>
      </c>
      <c r="J151">
        <v>450</v>
      </c>
      <c r="K151">
        <v>1800</v>
      </c>
      <c r="L151" t="s">
        <v>26</v>
      </c>
      <c r="M151" t="s">
        <v>55</v>
      </c>
      <c r="N151" t="s">
        <v>28</v>
      </c>
      <c r="O151" s="2">
        <v>46274</v>
      </c>
      <c r="P151" s="2">
        <v>46275</v>
      </c>
      <c r="Q151" t="s">
        <v>49</v>
      </c>
    </row>
    <row r="152" spans="1:19" x14ac:dyDescent="0.25">
      <c r="A152" t="s">
        <v>293</v>
      </c>
      <c r="B152" s="2">
        <v>46269</v>
      </c>
      <c r="C152" t="s">
        <v>125</v>
      </c>
      <c r="D152" t="s">
        <v>126</v>
      </c>
      <c r="E152" t="s">
        <v>44</v>
      </c>
      <c r="F152" t="s">
        <v>116</v>
      </c>
      <c r="G152" t="s">
        <v>117</v>
      </c>
      <c r="H152" t="s">
        <v>47</v>
      </c>
      <c r="I152">
        <v>1</v>
      </c>
      <c r="J152">
        <v>1200</v>
      </c>
      <c r="K152">
        <v>1200</v>
      </c>
      <c r="L152" t="s">
        <v>74</v>
      </c>
      <c r="M152" t="s">
        <v>27</v>
      </c>
      <c r="N152" t="s">
        <v>67</v>
      </c>
      <c r="O152" s="2">
        <v>46272</v>
      </c>
      <c r="P152" s="2"/>
      <c r="Q152" t="s">
        <v>49</v>
      </c>
    </row>
    <row r="153" spans="1:19" x14ac:dyDescent="0.25">
      <c r="A153" t="s">
        <v>294</v>
      </c>
      <c r="B153" s="2">
        <v>46234</v>
      </c>
      <c r="C153" t="s">
        <v>184</v>
      </c>
      <c r="D153" t="s">
        <v>185</v>
      </c>
      <c r="E153" t="s">
        <v>88</v>
      </c>
      <c r="F153" t="s">
        <v>133</v>
      </c>
      <c r="G153" t="s">
        <v>134</v>
      </c>
      <c r="H153" t="s">
        <v>113</v>
      </c>
      <c r="I153">
        <v>2</v>
      </c>
      <c r="J153">
        <v>2200</v>
      </c>
      <c r="K153">
        <v>4400</v>
      </c>
      <c r="L153" t="s">
        <v>26</v>
      </c>
      <c r="M153" t="s">
        <v>55</v>
      </c>
      <c r="N153" t="s">
        <v>67</v>
      </c>
      <c r="O153" s="2">
        <v>46237</v>
      </c>
      <c r="P153" s="2"/>
      <c r="Q153" t="s">
        <v>49</v>
      </c>
    </row>
    <row r="154" spans="1:19" x14ac:dyDescent="0.25">
      <c r="A154" t="s">
        <v>295</v>
      </c>
      <c r="B154" s="2">
        <v>46287</v>
      </c>
      <c r="C154" t="s">
        <v>139</v>
      </c>
      <c r="D154" t="s">
        <v>140</v>
      </c>
      <c r="E154" t="s">
        <v>96</v>
      </c>
      <c r="F154" t="s">
        <v>150</v>
      </c>
      <c r="G154" t="s">
        <v>151</v>
      </c>
      <c r="H154" t="s">
        <v>25</v>
      </c>
      <c r="I154">
        <v>2</v>
      </c>
      <c r="J154">
        <v>550</v>
      </c>
      <c r="K154">
        <v>1100</v>
      </c>
      <c r="L154" t="s">
        <v>79</v>
      </c>
      <c r="M154" t="s">
        <v>27</v>
      </c>
      <c r="N154" t="s">
        <v>28</v>
      </c>
      <c r="O154" s="2">
        <v>46290</v>
      </c>
      <c r="P154" s="2">
        <v>46290</v>
      </c>
      <c r="Q154" t="s">
        <v>29</v>
      </c>
    </row>
    <row r="155" spans="1:19" x14ac:dyDescent="0.25">
      <c r="A155" t="s">
        <v>296</v>
      </c>
      <c r="B155" s="2">
        <v>46291</v>
      </c>
      <c r="C155" t="s">
        <v>86</v>
      </c>
      <c r="D155" t="s">
        <v>87</v>
      </c>
      <c r="E155" t="s">
        <v>88</v>
      </c>
      <c r="F155" t="s">
        <v>147</v>
      </c>
      <c r="G155" t="s">
        <v>148</v>
      </c>
      <c r="H155" t="s">
        <v>25</v>
      </c>
      <c r="I155">
        <v>4</v>
      </c>
      <c r="J155">
        <v>450</v>
      </c>
      <c r="K155">
        <v>1800</v>
      </c>
      <c r="L155" t="s">
        <v>74</v>
      </c>
      <c r="M155" t="s">
        <v>27</v>
      </c>
      <c r="N155" t="s">
        <v>28</v>
      </c>
      <c r="O155" s="2">
        <v>46298</v>
      </c>
      <c r="P155" s="2">
        <v>46300</v>
      </c>
      <c r="Q155" t="s">
        <v>101</v>
      </c>
    </row>
    <row r="156" spans="1:19" x14ac:dyDescent="0.25">
      <c r="A156" t="s">
        <v>297</v>
      </c>
      <c r="B156" s="2">
        <v>46212</v>
      </c>
      <c r="C156" t="s">
        <v>125</v>
      </c>
      <c r="D156" t="s">
        <v>126</v>
      </c>
      <c r="E156" t="s">
        <v>44</v>
      </c>
      <c r="F156" t="s">
        <v>59</v>
      </c>
      <c r="G156" t="s">
        <v>60</v>
      </c>
      <c r="H156" t="s">
        <v>47</v>
      </c>
      <c r="I156">
        <v>4</v>
      </c>
      <c r="J156">
        <v>350</v>
      </c>
      <c r="K156">
        <v>1400</v>
      </c>
      <c r="L156" t="s">
        <v>26</v>
      </c>
      <c r="M156" t="s">
        <v>27</v>
      </c>
      <c r="N156" t="s">
        <v>28</v>
      </c>
      <c r="O156" s="2">
        <v>46218</v>
      </c>
      <c r="P156" s="2">
        <v>46219</v>
      </c>
      <c r="Q156" t="s">
        <v>101</v>
      </c>
    </row>
    <row r="157" spans="1:19" x14ac:dyDescent="0.25">
      <c r="A157" t="s">
        <v>298</v>
      </c>
      <c r="B157" s="2">
        <v>46268</v>
      </c>
      <c r="C157" t="s">
        <v>86</v>
      </c>
      <c r="D157" t="s">
        <v>87</v>
      </c>
      <c r="E157" t="s">
        <v>88</v>
      </c>
      <c r="F157" t="s">
        <v>53</v>
      </c>
      <c r="G157" t="s">
        <v>54</v>
      </c>
      <c r="H157" t="s">
        <v>47</v>
      </c>
      <c r="I157">
        <v>3</v>
      </c>
      <c r="J157">
        <v>850</v>
      </c>
      <c r="K157">
        <v>2550</v>
      </c>
      <c r="L157" t="s">
        <v>79</v>
      </c>
      <c r="M157" t="s">
        <v>55</v>
      </c>
      <c r="N157" t="s">
        <v>28</v>
      </c>
      <c r="O157" s="2">
        <v>46271</v>
      </c>
      <c r="P157" s="2">
        <v>46271</v>
      </c>
      <c r="Q157" t="s">
        <v>39</v>
      </c>
    </row>
    <row r="158" spans="1:19" x14ac:dyDescent="0.25">
      <c r="A158" t="s">
        <v>299</v>
      </c>
      <c r="B158" s="2">
        <v>46213</v>
      </c>
      <c r="C158" t="s">
        <v>69</v>
      </c>
      <c r="D158" t="s">
        <v>70</v>
      </c>
      <c r="E158" t="s">
        <v>71</v>
      </c>
      <c r="F158" t="s">
        <v>133</v>
      </c>
      <c r="G158" t="s">
        <v>134</v>
      </c>
      <c r="H158" t="s">
        <v>113</v>
      </c>
      <c r="I158">
        <v>3</v>
      </c>
      <c r="J158">
        <v>2200</v>
      </c>
      <c r="K158">
        <v>6600</v>
      </c>
      <c r="L158" t="s">
        <v>74</v>
      </c>
      <c r="M158" t="s">
        <v>300</v>
      </c>
      <c r="N158" t="s">
        <v>28</v>
      </c>
      <c r="O158" s="2">
        <v>46216</v>
      </c>
      <c r="P158" s="2">
        <v>46217</v>
      </c>
      <c r="Q158" t="s">
        <v>29</v>
      </c>
    </row>
    <row r="159" spans="1:19" x14ac:dyDescent="0.25">
      <c r="A159" t="s">
        <v>301</v>
      </c>
      <c r="B159" s="2">
        <v>46261</v>
      </c>
      <c r="C159" t="s">
        <v>109</v>
      </c>
      <c r="D159" t="s">
        <v>110</v>
      </c>
      <c r="E159" t="s">
        <v>105</v>
      </c>
      <c r="F159" t="s">
        <v>147</v>
      </c>
      <c r="G159" t="s">
        <v>148</v>
      </c>
      <c r="H159" t="s">
        <v>25</v>
      </c>
      <c r="I159">
        <v>1</v>
      </c>
      <c r="J159">
        <v>450</v>
      </c>
      <c r="K159">
        <v>450</v>
      </c>
      <c r="L159" t="s">
        <v>26</v>
      </c>
      <c r="M159" t="s">
        <v>55</v>
      </c>
      <c r="N159" t="s">
        <v>28</v>
      </c>
      <c r="O159" s="2">
        <v>46268</v>
      </c>
      <c r="P159" s="2">
        <v>46270</v>
      </c>
      <c r="Q159" t="s">
        <v>29</v>
      </c>
    </row>
    <row r="160" spans="1:19" x14ac:dyDescent="0.25">
      <c r="A160" t="s">
        <v>302</v>
      </c>
      <c r="B160" s="2">
        <v>46261</v>
      </c>
      <c r="C160" t="s">
        <v>31</v>
      </c>
      <c r="D160" t="s">
        <v>32</v>
      </c>
      <c r="E160" t="s">
        <v>33</v>
      </c>
      <c r="F160" t="s">
        <v>59</v>
      </c>
      <c r="G160" t="s">
        <v>60</v>
      </c>
      <c r="H160" t="s">
        <v>47</v>
      </c>
      <c r="I160">
        <v>1</v>
      </c>
      <c r="J160">
        <v>350</v>
      </c>
      <c r="K160">
        <v>350</v>
      </c>
      <c r="L160" t="s">
        <v>48</v>
      </c>
      <c r="M160" t="s">
        <v>27</v>
      </c>
      <c r="N160" t="s">
        <v>38</v>
      </c>
      <c r="O160" s="2">
        <v>46264</v>
      </c>
      <c r="P160" s="2"/>
      <c r="Q160" t="s">
        <v>49</v>
      </c>
      <c r="S160" t="s">
        <v>204</v>
      </c>
    </row>
    <row r="161" spans="1:19" x14ac:dyDescent="0.25">
      <c r="A161" t="s">
        <v>303</v>
      </c>
      <c r="B161" s="2">
        <v>46271</v>
      </c>
      <c r="C161" t="s">
        <v>180</v>
      </c>
      <c r="D161" t="s">
        <v>181</v>
      </c>
      <c r="E161" t="s">
        <v>33</v>
      </c>
      <c r="F161" t="s">
        <v>34</v>
      </c>
      <c r="G161" t="s">
        <v>35</v>
      </c>
      <c r="H161" t="s">
        <v>36</v>
      </c>
      <c r="I161">
        <v>4</v>
      </c>
      <c r="J161">
        <v>3200</v>
      </c>
      <c r="K161">
        <v>12800</v>
      </c>
      <c r="L161" t="s">
        <v>61</v>
      </c>
      <c r="M161" t="s">
        <v>55</v>
      </c>
      <c r="N161" t="s">
        <v>56</v>
      </c>
      <c r="O161" s="2">
        <v>46278</v>
      </c>
      <c r="P161" s="2">
        <v>46279</v>
      </c>
      <c r="Q161" t="s">
        <v>101</v>
      </c>
      <c r="R161" t="s">
        <v>145</v>
      </c>
    </row>
    <row r="162" spans="1:19" x14ac:dyDescent="0.25">
      <c r="A162" t="s">
        <v>304</v>
      </c>
      <c r="B162" s="2">
        <v>46247</v>
      </c>
      <c r="C162" t="s">
        <v>83</v>
      </c>
      <c r="D162" t="s">
        <v>84</v>
      </c>
      <c r="E162" t="s">
        <v>71</v>
      </c>
      <c r="F162" t="s">
        <v>72</v>
      </c>
      <c r="G162" t="s">
        <v>73</v>
      </c>
      <c r="H162" t="s">
        <v>36</v>
      </c>
      <c r="I162">
        <v>4</v>
      </c>
      <c r="J162">
        <v>950</v>
      </c>
      <c r="K162">
        <v>3800</v>
      </c>
      <c r="L162" t="s">
        <v>26</v>
      </c>
      <c r="M162" t="s">
        <v>27</v>
      </c>
      <c r="N162" t="s">
        <v>28</v>
      </c>
      <c r="O162" s="2">
        <v>46254</v>
      </c>
      <c r="P162" s="2">
        <v>46253</v>
      </c>
      <c r="Q162" t="s">
        <v>39</v>
      </c>
    </row>
    <row r="163" spans="1:19" x14ac:dyDescent="0.25">
      <c r="A163" t="s">
        <v>305</v>
      </c>
      <c r="B163" s="2">
        <v>46240</v>
      </c>
      <c r="C163" t="s">
        <v>125</v>
      </c>
      <c r="D163" t="s">
        <v>126</v>
      </c>
      <c r="E163" t="s">
        <v>44</v>
      </c>
      <c r="F163" t="s">
        <v>141</v>
      </c>
      <c r="G163" t="s">
        <v>142</v>
      </c>
      <c r="H163" t="s">
        <v>47</v>
      </c>
      <c r="I163">
        <v>4</v>
      </c>
      <c r="J163">
        <v>1800</v>
      </c>
      <c r="K163">
        <v>7200</v>
      </c>
      <c r="L163" t="s">
        <v>74</v>
      </c>
      <c r="M163" t="s">
        <v>203</v>
      </c>
      <c r="N163" t="s">
        <v>38</v>
      </c>
      <c r="O163" s="2">
        <v>46245</v>
      </c>
      <c r="P163" s="2"/>
      <c r="Q163" t="s">
        <v>49</v>
      </c>
      <c r="S163" t="s">
        <v>280</v>
      </c>
    </row>
    <row r="164" spans="1:19" x14ac:dyDescent="0.25">
      <c r="A164" t="s">
        <v>306</v>
      </c>
      <c r="B164" s="2">
        <v>46248</v>
      </c>
      <c r="C164" t="s">
        <v>51</v>
      </c>
      <c r="D164" t="s">
        <v>52</v>
      </c>
      <c r="E164" t="s">
        <v>44</v>
      </c>
      <c r="F164" t="s">
        <v>147</v>
      </c>
      <c r="G164" t="s">
        <v>148</v>
      </c>
      <c r="H164" t="s">
        <v>25</v>
      </c>
      <c r="I164">
        <v>2</v>
      </c>
      <c r="J164">
        <v>450</v>
      </c>
      <c r="K164">
        <v>900</v>
      </c>
      <c r="L164" t="s">
        <v>79</v>
      </c>
      <c r="M164" t="s">
        <v>27</v>
      </c>
      <c r="N164" t="s">
        <v>28</v>
      </c>
      <c r="O164" s="2">
        <v>46253</v>
      </c>
      <c r="P164" s="2">
        <v>46255</v>
      </c>
      <c r="Q164" t="s">
        <v>49</v>
      </c>
    </row>
    <row r="165" spans="1:19" x14ac:dyDescent="0.25">
      <c r="A165" t="s">
        <v>307</v>
      </c>
      <c r="B165" s="2">
        <v>46275</v>
      </c>
      <c r="C165" t="s">
        <v>94</v>
      </c>
      <c r="D165" t="s">
        <v>95</v>
      </c>
      <c r="E165" t="s">
        <v>96</v>
      </c>
      <c r="F165" t="s">
        <v>97</v>
      </c>
      <c r="G165" t="s">
        <v>98</v>
      </c>
      <c r="H165" t="s">
        <v>47</v>
      </c>
      <c r="I165">
        <v>3</v>
      </c>
      <c r="J165">
        <v>1450</v>
      </c>
      <c r="K165">
        <v>4350</v>
      </c>
      <c r="L165" t="s">
        <v>26</v>
      </c>
      <c r="M165" t="s">
        <v>27</v>
      </c>
      <c r="N165" t="s">
        <v>89</v>
      </c>
      <c r="O165" s="2">
        <v>46281</v>
      </c>
      <c r="P165" s="2"/>
      <c r="Q165" t="s">
        <v>49</v>
      </c>
    </row>
    <row r="166" spans="1:19" x14ac:dyDescent="0.25">
      <c r="A166" t="s">
        <v>308</v>
      </c>
      <c r="B166" s="2">
        <v>46269</v>
      </c>
      <c r="C166" t="s">
        <v>31</v>
      </c>
      <c r="D166" t="s">
        <v>32</v>
      </c>
      <c r="E166" t="s">
        <v>33</v>
      </c>
      <c r="F166" t="s">
        <v>97</v>
      </c>
      <c r="G166" t="s">
        <v>98</v>
      </c>
      <c r="H166" t="s">
        <v>47</v>
      </c>
      <c r="I166">
        <v>4</v>
      </c>
      <c r="J166">
        <v>1450</v>
      </c>
      <c r="K166">
        <v>5800</v>
      </c>
      <c r="L166" t="s">
        <v>26</v>
      </c>
      <c r="M166" t="s">
        <v>55</v>
      </c>
      <c r="N166" t="s">
        <v>28</v>
      </c>
      <c r="O166" s="2">
        <v>46274</v>
      </c>
      <c r="P166" s="2">
        <v>46273</v>
      </c>
      <c r="Q166" t="s">
        <v>49</v>
      </c>
    </row>
    <row r="167" spans="1:19" x14ac:dyDescent="0.25">
      <c r="A167" t="s">
        <v>309</v>
      </c>
      <c r="B167" s="2">
        <v>46228</v>
      </c>
      <c r="C167" t="s">
        <v>20</v>
      </c>
      <c r="D167" t="s">
        <v>21</v>
      </c>
      <c r="E167" t="s">
        <v>22</v>
      </c>
      <c r="F167" t="s">
        <v>111</v>
      </c>
      <c r="G167" t="s">
        <v>112</v>
      </c>
      <c r="H167" t="s">
        <v>113</v>
      </c>
      <c r="I167">
        <v>4</v>
      </c>
      <c r="J167">
        <v>1250</v>
      </c>
      <c r="K167">
        <v>5000</v>
      </c>
      <c r="L167" t="s">
        <v>61</v>
      </c>
      <c r="M167" t="s">
        <v>37</v>
      </c>
      <c r="N167" t="s">
        <v>38</v>
      </c>
      <c r="O167" s="2">
        <v>46232</v>
      </c>
      <c r="P167" s="2"/>
      <c r="Q167" t="s">
        <v>39</v>
      </c>
      <c r="S167" t="s">
        <v>280</v>
      </c>
    </row>
    <row r="168" spans="1:19" x14ac:dyDescent="0.25">
      <c r="A168" t="s">
        <v>310</v>
      </c>
      <c r="B168" s="2">
        <v>46288</v>
      </c>
      <c r="C168" t="s">
        <v>63</v>
      </c>
      <c r="D168" t="s">
        <v>64</v>
      </c>
      <c r="E168" t="s">
        <v>353</v>
      </c>
      <c r="F168" t="s">
        <v>91</v>
      </c>
      <c r="G168" t="s">
        <v>92</v>
      </c>
      <c r="H168" t="s">
        <v>25</v>
      </c>
      <c r="I168">
        <v>1</v>
      </c>
      <c r="J168">
        <v>180</v>
      </c>
      <c r="K168">
        <v>180</v>
      </c>
      <c r="L168" t="s">
        <v>61</v>
      </c>
      <c r="M168" t="s">
        <v>27</v>
      </c>
      <c r="N168" t="s">
        <v>28</v>
      </c>
      <c r="O168" s="2">
        <v>46293</v>
      </c>
      <c r="P168" s="2">
        <v>46296</v>
      </c>
      <c r="Q168" t="s">
        <v>29</v>
      </c>
    </row>
    <row r="169" spans="1:19" x14ac:dyDescent="0.25">
      <c r="A169" t="s">
        <v>311</v>
      </c>
      <c r="B169" s="2">
        <v>46292</v>
      </c>
      <c r="C169" t="s">
        <v>76</v>
      </c>
      <c r="D169" t="s">
        <v>77</v>
      </c>
      <c r="E169" t="s">
        <v>88</v>
      </c>
      <c r="F169" t="s">
        <v>116</v>
      </c>
      <c r="G169" t="s">
        <v>117</v>
      </c>
      <c r="H169" t="s">
        <v>47</v>
      </c>
      <c r="I169">
        <v>2</v>
      </c>
      <c r="J169">
        <v>1200</v>
      </c>
      <c r="K169">
        <v>2400</v>
      </c>
      <c r="L169" t="s">
        <v>79</v>
      </c>
      <c r="M169" t="s">
        <v>55</v>
      </c>
      <c r="N169" t="s">
        <v>28</v>
      </c>
      <c r="O169" s="2">
        <v>46299</v>
      </c>
      <c r="P169" s="2">
        <v>46302</v>
      </c>
      <c r="Q169" t="s">
        <v>39</v>
      </c>
    </row>
    <row r="170" spans="1:19" x14ac:dyDescent="0.25">
      <c r="A170" t="s">
        <v>312</v>
      </c>
      <c r="B170" s="2">
        <v>46260</v>
      </c>
      <c r="C170" t="s">
        <v>129</v>
      </c>
      <c r="D170" t="s">
        <v>130</v>
      </c>
      <c r="E170" t="s">
        <v>22</v>
      </c>
      <c r="F170" t="s">
        <v>133</v>
      </c>
      <c r="G170" t="s">
        <v>134</v>
      </c>
      <c r="H170" t="s">
        <v>113</v>
      </c>
      <c r="I170">
        <v>2</v>
      </c>
      <c r="J170">
        <v>2200</v>
      </c>
      <c r="K170">
        <v>4400</v>
      </c>
      <c r="L170" t="s">
        <v>79</v>
      </c>
      <c r="M170" t="s">
        <v>27</v>
      </c>
      <c r="N170" t="s">
        <v>28</v>
      </c>
      <c r="O170" s="2">
        <v>46267</v>
      </c>
      <c r="P170" s="2">
        <v>46267</v>
      </c>
      <c r="Q170" t="s">
        <v>49</v>
      </c>
    </row>
    <row r="171" spans="1:19" x14ac:dyDescent="0.25">
      <c r="A171" t="s">
        <v>313</v>
      </c>
      <c r="B171" s="2">
        <v>46264</v>
      </c>
      <c r="C171" t="s">
        <v>42</v>
      </c>
      <c r="D171" t="s">
        <v>43</v>
      </c>
      <c r="E171" t="s">
        <v>44</v>
      </c>
      <c r="F171" t="s">
        <v>45</v>
      </c>
      <c r="G171" t="s">
        <v>46</v>
      </c>
      <c r="H171" t="s">
        <v>47</v>
      </c>
      <c r="I171">
        <v>3</v>
      </c>
      <c r="J171">
        <v>1100</v>
      </c>
      <c r="K171">
        <v>3300</v>
      </c>
      <c r="L171" t="s">
        <v>74</v>
      </c>
      <c r="M171" t="s">
        <v>55</v>
      </c>
      <c r="N171" t="s">
        <v>155</v>
      </c>
      <c r="O171" s="2">
        <v>46268</v>
      </c>
      <c r="P171" s="2"/>
      <c r="Q171" t="s">
        <v>29</v>
      </c>
    </row>
    <row r="172" spans="1:19" x14ac:dyDescent="0.25">
      <c r="A172" t="s">
        <v>314</v>
      </c>
      <c r="B172" s="2">
        <v>46268</v>
      </c>
      <c r="C172" t="s">
        <v>109</v>
      </c>
      <c r="D172" t="s">
        <v>110</v>
      </c>
      <c r="E172" t="s">
        <v>105</v>
      </c>
      <c r="F172" t="s">
        <v>119</v>
      </c>
      <c r="G172" t="s">
        <v>120</v>
      </c>
      <c r="H172" t="s">
        <v>113</v>
      </c>
      <c r="I172">
        <v>4</v>
      </c>
      <c r="J172">
        <v>1400</v>
      </c>
      <c r="K172">
        <v>5600</v>
      </c>
      <c r="L172" t="s">
        <v>61</v>
      </c>
      <c r="M172" t="s">
        <v>55</v>
      </c>
      <c r="N172" t="s">
        <v>28</v>
      </c>
      <c r="O172" s="2">
        <v>46275</v>
      </c>
      <c r="P172" s="2">
        <v>46276</v>
      </c>
      <c r="Q172" t="s">
        <v>49</v>
      </c>
    </row>
    <row r="173" spans="1:19" x14ac:dyDescent="0.25">
      <c r="A173" t="s">
        <v>315</v>
      </c>
      <c r="B173" s="2">
        <v>46251</v>
      </c>
      <c r="C173" t="s">
        <v>103</v>
      </c>
      <c r="D173" t="s">
        <v>104</v>
      </c>
      <c r="E173" t="s">
        <v>105</v>
      </c>
      <c r="F173" t="s">
        <v>53</v>
      </c>
      <c r="G173" t="s">
        <v>54</v>
      </c>
      <c r="H173" t="s">
        <v>47</v>
      </c>
      <c r="I173">
        <v>4</v>
      </c>
      <c r="J173">
        <v>850</v>
      </c>
      <c r="K173">
        <v>3400</v>
      </c>
      <c r="L173" t="s">
        <v>74</v>
      </c>
      <c r="M173" t="s">
        <v>27</v>
      </c>
      <c r="N173" t="s">
        <v>28</v>
      </c>
      <c r="O173" s="2">
        <v>46258</v>
      </c>
      <c r="P173" s="2">
        <v>46257</v>
      </c>
      <c r="Q173" t="s">
        <v>39</v>
      </c>
    </row>
    <row r="174" spans="1:19" x14ac:dyDescent="0.25">
      <c r="A174" t="s">
        <v>316</v>
      </c>
      <c r="B174" s="2">
        <v>46238</v>
      </c>
      <c r="C174" t="s">
        <v>83</v>
      </c>
      <c r="D174" t="s">
        <v>84</v>
      </c>
      <c r="E174" t="s">
        <v>71</v>
      </c>
      <c r="F174" t="s">
        <v>97</v>
      </c>
      <c r="G174" t="s">
        <v>98</v>
      </c>
      <c r="H174" t="s">
        <v>47</v>
      </c>
      <c r="I174">
        <v>2</v>
      </c>
      <c r="J174">
        <v>1450</v>
      </c>
      <c r="K174">
        <v>2900</v>
      </c>
      <c r="L174" t="s">
        <v>79</v>
      </c>
      <c r="M174" t="s">
        <v>55</v>
      </c>
      <c r="N174" t="s">
        <v>28</v>
      </c>
      <c r="O174" s="2">
        <v>46244</v>
      </c>
      <c r="P174" s="2">
        <v>46245</v>
      </c>
      <c r="Q174" t="s">
        <v>39</v>
      </c>
    </row>
    <row r="175" spans="1:19" x14ac:dyDescent="0.25">
      <c r="A175" t="s">
        <v>317</v>
      </c>
      <c r="B175" s="2">
        <v>46207</v>
      </c>
      <c r="C175" t="s">
        <v>180</v>
      </c>
      <c r="D175" t="s">
        <v>181</v>
      </c>
      <c r="E175" t="s">
        <v>33</v>
      </c>
      <c r="F175" t="s">
        <v>34</v>
      </c>
      <c r="G175" t="s">
        <v>35</v>
      </c>
      <c r="H175" t="s">
        <v>36</v>
      </c>
      <c r="I175">
        <v>3</v>
      </c>
      <c r="J175">
        <v>3200</v>
      </c>
      <c r="K175">
        <v>9600</v>
      </c>
      <c r="L175" t="s">
        <v>79</v>
      </c>
      <c r="M175" t="s">
        <v>55</v>
      </c>
      <c r="N175" t="s">
        <v>56</v>
      </c>
      <c r="O175" s="2">
        <v>46213</v>
      </c>
      <c r="P175" s="2">
        <v>46212</v>
      </c>
      <c r="Q175" t="s">
        <v>101</v>
      </c>
      <c r="R175" t="s">
        <v>57</v>
      </c>
    </row>
    <row r="176" spans="1:19" x14ac:dyDescent="0.25">
      <c r="A176" t="s">
        <v>318</v>
      </c>
      <c r="B176" s="2">
        <v>46232</v>
      </c>
      <c r="C176" t="s">
        <v>157</v>
      </c>
      <c r="D176" t="s">
        <v>158</v>
      </c>
      <c r="E176" t="s">
        <v>96</v>
      </c>
      <c r="F176" t="s">
        <v>97</v>
      </c>
      <c r="G176" t="s">
        <v>98</v>
      </c>
      <c r="H176" t="s">
        <v>47</v>
      </c>
      <c r="I176">
        <v>3</v>
      </c>
      <c r="J176">
        <v>1450</v>
      </c>
      <c r="K176">
        <v>4350</v>
      </c>
      <c r="L176" t="s">
        <v>48</v>
      </c>
      <c r="M176" t="s">
        <v>55</v>
      </c>
      <c r="N176" t="s">
        <v>89</v>
      </c>
      <c r="O176" s="2">
        <v>46235</v>
      </c>
      <c r="P176" s="2"/>
      <c r="Q176" t="s">
        <v>101</v>
      </c>
    </row>
    <row r="177" spans="1:19" x14ac:dyDescent="0.25">
      <c r="A177" t="s">
        <v>319</v>
      </c>
      <c r="B177" s="2">
        <v>46240</v>
      </c>
      <c r="C177" t="s">
        <v>76</v>
      </c>
      <c r="D177" t="s">
        <v>77</v>
      </c>
      <c r="E177" t="s">
        <v>88</v>
      </c>
      <c r="F177" t="s">
        <v>59</v>
      </c>
      <c r="G177" t="s">
        <v>60</v>
      </c>
      <c r="H177" t="s">
        <v>47</v>
      </c>
      <c r="I177">
        <v>1</v>
      </c>
      <c r="J177">
        <v>350</v>
      </c>
      <c r="K177">
        <v>350</v>
      </c>
      <c r="L177" t="s">
        <v>79</v>
      </c>
      <c r="M177" t="s">
        <v>55</v>
      </c>
      <c r="N177" t="s">
        <v>28</v>
      </c>
      <c r="O177" s="2">
        <v>46246</v>
      </c>
      <c r="P177" s="2">
        <v>46248</v>
      </c>
      <c r="Q177" t="s">
        <v>29</v>
      </c>
    </row>
    <row r="178" spans="1:19" x14ac:dyDescent="0.25">
      <c r="A178" t="s">
        <v>320</v>
      </c>
      <c r="B178" s="2">
        <v>46206</v>
      </c>
      <c r="C178" t="s">
        <v>94</v>
      </c>
      <c r="D178" t="s">
        <v>95</v>
      </c>
      <c r="E178" t="s">
        <v>96</v>
      </c>
      <c r="F178" t="s">
        <v>136</v>
      </c>
      <c r="G178" t="s">
        <v>137</v>
      </c>
      <c r="H178" t="s">
        <v>47</v>
      </c>
      <c r="I178">
        <v>1</v>
      </c>
      <c r="J178">
        <v>650</v>
      </c>
      <c r="K178">
        <v>650</v>
      </c>
      <c r="L178" t="s">
        <v>61</v>
      </c>
      <c r="M178" t="s">
        <v>55</v>
      </c>
      <c r="N178" t="s">
        <v>155</v>
      </c>
      <c r="O178" s="2">
        <v>46211</v>
      </c>
      <c r="P178" s="2"/>
      <c r="Q178" t="s">
        <v>29</v>
      </c>
    </row>
    <row r="179" spans="1:19" x14ac:dyDescent="0.25">
      <c r="A179" t="s">
        <v>321</v>
      </c>
      <c r="B179" s="2">
        <v>46242</v>
      </c>
      <c r="C179" t="s">
        <v>63</v>
      </c>
      <c r="D179" t="s">
        <v>64</v>
      </c>
      <c r="E179" t="s">
        <v>353</v>
      </c>
      <c r="F179" t="s">
        <v>119</v>
      </c>
      <c r="G179" t="s">
        <v>120</v>
      </c>
      <c r="H179" t="s">
        <v>113</v>
      </c>
      <c r="I179">
        <v>2</v>
      </c>
      <c r="J179">
        <v>1400</v>
      </c>
      <c r="K179">
        <v>2800</v>
      </c>
      <c r="L179" t="s">
        <v>61</v>
      </c>
      <c r="M179" t="s">
        <v>55</v>
      </c>
      <c r="N179" t="s">
        <v>56</v>
      </c>
      <c r="O179" s="2">
        <v>46245</v>
      </c>
      <c r="P179" s="2">
        <v>46244</v>
      </c>
      <c r="Q179" t="s">
        <v>29</v>
      </c>
      <c r="R179" t="s">
        <v>322</v>
      </c>
    </row>
    <row r="180" spans="1:19" x14ac:dyDescent="0.25">
      <c r="A180" t="s">
        <v>323</v>
      </c>
      <c r="B180" s="2">
        <v>46267</v>
      </c>
      <c r="C180" t="s">
        <v>109</v>
      </c>
      <c r="D180" t="s">
        <v>110</v>
      </c>
      <c r="E180" t="s">
        <v>105</v>
      </c>
      <c r="F180" t="s">
        <v>97</v>
      </c>
      <c r="G180" t="s">
        <v>98</v>
      </c>
      <c r="H180" t="s">
        <v>47</v>
      </c>
      <c r="I180">
        <v>1</v>
      </c>
      <c r="J180">
        <v>1450</v>
      </c>
      <c r="K180">
        <v>1450</v>
      </c>
      <c r="L180" t="s">
        <v>48</v>
      </c>
      <c r="M180" t="s">
        <v>27</v>
      </c>
      <c r="N180" t="s">
        <v>155</v>
      </c>
      <c r="O180" s="2">
        <v>46274</v>
      </c>
      <c r="P180" s="2"/>
      <c r="Q180" t="s">
        <v>49</v>
      </c>
    </row>
    <row r="181" spans="1:19" x14ac:dyDescent="0.25">
      <c r="A181" t="s">
        <v>324</v>
      </c>
      <c r="B181" s="2">
        <v>46204</v>
      </c>
      <c r="C181" t="s">
        <v>76</v>
      </c>
      <c r="D181" t="s">
        <v>77</v>
      </c>
      <c r="E181" t="s">
        <v>88</v>
      </c>
      <c r="F181" t="s">
        <v>119</v>
      </c>
      <c r="G181" t="s">
        <v>120</v>
      </c>
      <c r="H181" t="s">
        <v>113</v>
      </c>
      <c r="I181">
        <v>4</v>
      </c>
      <c r="J181">
        <v>1400</v>
      </c>
      <c r="K181">
        <v>5600</v>
      </c>
      <c r="L181" t="s">
        <v>61</v>
      </c>
      <c r="M181" t="s">
        <v>55</v>
      </c>
      <c r="N181" t="s">
        <v>67</v>
      </c>
      <c r="O181" s="2">
        <v>46211</v>
      </c>
      <c r="P181" s="2"/>
      <c r="Q181" t="s">
        <v>29</v>
      </c>
    </row>
    <row r="182" spans="1:19" x14ac:dyDescent="0.25">
      <c r="A182" t="s">
        <v>325</v>
      </c>
      <c r="B182" s="2">
        <v>46212</v>
      </c>
      <c r="C182" t="s">
        <v>139</v>
      </c>
      <c r="D182" t="s">
        <v>140</v>
      </c>
      <c r="E182" t="s">
        <v>96</v>
      </c>
      <c r="F182" t="s">
        <v>97</v>
      </c>
      <c r="G182" t="s">
        <v>98</v>
      </c>
      <c r="H182" t="s">
        <v>47</v>
      </c>
      <c r="I182">
        <v>3</v>
      </c>
      <c r="J182">
        <v>1450</v>
      </c>
      <c r="K182">
        <v>4350</v>
      </c>
      <c r="L182" t="s">
        <v>74</v>
      </c>
      <c r="M182" t="s">
        <v>27</v>
      </c>
      <c r="N182" t="s">
        <v>28</v>
      </c>
      <c r="O182" s="2">
        <v>46219</v>
      </c>
      <c r="P182" s="2">
        <v>46220</v>
      </c>
      <c r="Q182" t="s">
        <v>39</v>
      </c>
    </row>
    <row r="183" spans="1:19" x14ac:dyDescent="0.25">
      <c r="A183" t="s">
        <v>326</v>
      </c>
      <c r="B183" s="2">
        <v>46285</v>
      </c>
      <c r="C183" t="s">
        <v>157</v>
      </c>
      <c r="D183" t="s">
        <v>158</v>
      </c>
      <c r="E183" t="s">
        <v>96</v>
      </c>
      <c r="F183" t="s">
        <v>233</v>
      </c>
      <c r="G183" t="s">
        <v>234</v>
      </c>
      <c r="H183" t="s">
        <v>36</v>
      </c>
      <c r="I183">
        <v>1</v>
      </c>
      <c r="J183">
        <v>750</v>
      </c>
      <c r="K183">
        <v>750</v>
      </c>
      <c r="L183" t="s">
        <v>48</v>
      </c>
      <c r="M183" t="s">
        <v>55</v>
      </c>
      <c r="N183" t="s">
        <v>28</v>
      </c>
      <c r="O183" s="2">
        <v>46291</v>
      </c>
      <c r="P183" s="2">
        <v>46291</v>
      </c>
      <c r="Q183" t="s">
        <v>101</v>
      </c>
    </row>
    <row r="184" spans="1:19" x14ac:dyDescent="0.25">
      <c r="A184" t="s">
        <v>327</v>
      </c>
      <c r="B184" s="2">
        <v>46288</v>
      </c>
      <c r="C184" t="s">
        <v>51</v>
      </c>
      <c r="D184" t="s">
        <v>52</v>
      </c>
      <c r="E184" t="s">
        <v>44</v>
      </c>
      <c r="F184" t="s">
        <v>133</v>
      </c>
      <c r="G184" t="s">
        <v>134</v>
      </c>
      <c r="H184" t="s">
        <v>113</v>
      </c>
      <c r="I184">
        <v>2</v>
      </c>
      <c r="J184">
        <v>2200</v>
      </c>
      <c r="K184">
        <v>4400</v>
      </c>
      <c r="L184" t="s">
        <v>26</v>
      </c>
      <c r="M184" t="s">
        <v>27</v>
      </c>
      <c r="N184" t="s">
        <v>28</v>
      </c>
      <c r="O184" s="2">
        <v>46291</v>
      </c>
      <c r="P184" s="2">
        <v>46294</v>
      </c>
      <c r="Q184" t="s">
        <v>49</v>
      </c>
    </row>
    <row r="185" spans="1:19" x14ac:dyDescent="0.25">
      <c r="A185" t="s">
        <v>328</v>
      </c>
      <c r="B185" s="2">
        <v>46286</v>
      </c>
      <c r="C185" t="s">
        <v>69</v>
      </c>
      <c r="D185" t="s">
        <v>70</v>
      </c>
      <c r="E185" t="s">
        <v>71</v>
      </c>
      <c r="F185" t="s">
        <v>133</v>
      </c>
      <c r="G185" t="s">
        <v>134</v>
      </c>
      <c r="H185" t="s">
        <v>113</v>
      </c>
      <c r="I185">
        <v>3</v>
      </c>
      <c r="J185">
        <v>2200</v>
      </c>
      <c r="K185">
        <v>6600</v>
      </c>
      <c r="L185" t="s">
        <v>79</v>
      </c>
      <c r="M185" t="s">
        <v>27</v>
      </c>
      <c r="N185" t="s">
        <v>28</v>
      </c>
      <c r="O185" s="2">
        <v>46290</v>
      </c>
      <c r="P185" s="2">
        <v>46293</v>
      </c>
      <c r="Q185" t="s">
        <v>29</v>
      </c>
    </row>
    <row r="186" spans="1:19" x14ac:dyDescent="0.25">
      <c r="A186" t="s">
        <v>329</v>
      </c>
      <c r="B186" s="2">
        <v>46295</v>
      </c>
      <c r="C186" t="s">
        <v>139</v>
      </c>
      <c r="D186" t="s">
        <v>140</v>
      </c>
      <c r="E186" t="s">
        <v>96</v>
      </c>
      <c r="F186" t="s">
        <v>59</v>
      </c>
      <c r="G186" t="s">
        <v>60</v>
      </c>
      <c r="H186" t="s">
        <v>47</v>
      </c>
      <c r="I186">
        <v>1</v>
      </c>
      <c r="J186">
        <v>350</v>
      </c>
      <c r="K186">
        <v>350</v>
      </c>
      <c r="L186" t="s">
        <v>61</v>
      </c>
      <c r="M186" t="s">
        <v>55</v>
      </c>
      <c r="N186" t="s">
        <v>28</v>
      </c>
      <c r="O186" s="2">
        <v>46301</v>
      </c>
      <c r="P186" s="2">
        <v>46300</v>
      </c>
      <c r="Q186" t="s">
        <v>39</v>
      </c>
    </row>
    <row r="187" spans="1:19" x14ac:dyDescent="0.25">
      <c r="A187" t="s">
        <v>330</v>
      </c>
      <c r="B187" s="2">
        <v>46243</v>
      </c>
      <c r="C187" t="s">
        <v>20</v>
      </c>
      <c r="D187" t="s">
        <v>21</v>
      </c>
      <c r="E187" t="s">
        <v>22</v>
      </c>
      <c r="F187" t="s">
        <v>53</v>
      </c>
      <c r="G187" t="s">
        <v>54</v>
      </c>
      <c r="H187" t="s">
        <v>47</v>
      </c>
      <c r="I187">
        <v>3</v>
      </c>
      <c r="J187">
        <v>850</v>
      </c>
      <c r="K187">
        <v>2550</v>
      </c>
      <c r="L187" t="s">
        <v>79</v>
      </c>
      <c r="M187" t="s">
        <v>27</v>
      </c>
      <c r="N187" t="s">
        <v>28</v>
      </c>
      <c r="O187" s="2">
        <v>46250</v>
      </c>
      <c r="P187" s="2">
        <v>46251</v>
      </c>
      <c r="Q187" t="s">
        <v>101</v>
      </c>
    </row>
    <row r="188" spans="1:19" x14ac:dyDescent="0.25">
      <c r="A188" t="s">
        <v>331</v>
      </c>
      <c r="B188" s="2">
        <v>46249</v>
      </c>
      <c r="C188" t="s">
        <v>69</v>
      </c>
      <c r="D188" t="s">
        <v>70</v>
      </c>
      <c r="E188" t="s">
        <v>71</v>
      </c>
      <c r="F188" t="s">
        <v>106</v>
      </c>
      <c r="G188" t="s">
        <v>107</v>
      </c>
      <c r="H188" t="s">
        <v>47</v>
      </c>
      <c r="I188">
        <v>3</v>
      </c>
      <c r="J188">
        <v>2500</v>
      </c>
      <c r="K188">
        <v>7500</v>
      </c>
      <c r="L188" t="s">
        <v>26</v>
      </c>
      <c r="M188" t="s">
        <v>27</v>
      </c>
      <c r="N188" t="s">
        <v>155</v>
      </c>
      <c r="O188" s="2">
        <v>46252</v>
      </c>
      <c r="P188" s="2"/>
      <c r="Q188" t="s">
        <v>101</v>
      </c>
    </row>
    <row r="189" spans="1:19" x14ac:dyDescent="0.25">
      <c r="A189" t="s">
        <v>332</v>
      </c>
      <c r="B189" s="2">
        <v>46255</v>
      </c>
      <c r="C189" t="s">
        <v>63</v>
      </c>
      <c r="D189" t="s">
        <v>64</v>
      </c>
      <c r="E189" t="s">
        <v>353</v>
      </c>
      <c r="F189" t="s">
        <v>133</v>
      </c>
      <c r="G189" t="s">
        <v>134</v>
      </c>
      <c r="H189" t="s">
        <v>113</v>
      </c>
      <c r="I189">
        <v>4</v>
      </c>
      <c r="J189">
        <v>2200</v>
      </c>
      <c r="K189">
        <v>8800</v>
      </c>
      <c r="L189" t="s">
        <v>61</v>
      </c>
      <c r="M189" t="s">
        <v>55</v>
      </c>
      <c r="N189" t="s">
        <v>28</v>
      </c>
      <c r="O189" s="2">
        <v>46261</v>
      </c>
      <c r="P189" s="2">
        <v>46262</v>
      </c>
      <c r="Q189" t="s">
        <v>29</v>
      </c>
    </row>
    <row r="190" spans="1:19" x14ac:dyDescent="0.25">
      <c r="A190" t="s">
        <v>333</v>
      </c>
      <c r="B190" s="2">
        <v>46214</v>
      </c>
      <c r="C190" t="s">
        <v>196</v>
      </c>
      <c r="D190" t="s">
        <v>197</v>
      </c>
      <c r="E190" t="s">
        <v>71</v>
      </c>
      <c r="F190" t="s">
        <v>133</v>
      </c>
      <c r="G190" t="s">
        <v>134</v>
      </c>
      <c r="H190" t="s">
        <v>113</v>
      </c>
      <c r="I190">
        <v>3</v>
      </c>
      <c r="J190">
        <v>2200</v>
      </c>
      <c r="K190">
        <v>6600</v>
      </c>
      <c r="L190" t="s">
        <v>79</v>
      </c>
      <c r="M190" t="s">
        <v>55</v>
      </c>
      <c r="N190" t="s">
        <v>67</v>
      </c>
      <c r="O190" s="2">
        <v>46220</v>
      </c>
      <c r="P190" s="2"/>
      <c r="Q190" t="s">
        <v>49</v>
      </c>
    </row>
    <row r="191" spans="1:19" x14ac:dyDescent="0.25">
      <c r="A191" t="s">
        <v>334</v>
      </c>
      <c r="B191" s="2">
        <v>46217</v>
      </c>
      <c r="C191" t="s">
        <v>42</v>
      </c>
      <c r="D191" t="s">
        <v>43</v>
      </c>
      <c r="E191" t="s">
        <v>44</v>
      </c>
      <c r="F191" t="s">
        <v>119</v>
      </c>
      <c r="G191" t="s">
        <v>120</v>
      </c>
      <c r="H191" t="s">
        <v>113</v>
      </c>
      <c r="I191">
        <v>3</v>
      </c>
      <c r="J191">
        <v>1400</v>
      </c>
      <c r="K191">
        <v>4200</v>
      </c>
      <c r="L191" t="s">
        <v>26</v>
      </c>
      <c r="M191" t="s">
        <v>27</v>
      </c>
      <c r="N191" t="s">
        <v>38</v>
      </c>
      <c r="O191" s="2">
        <v>46220</v>
      </c>
      <c r="P191" s="2"/>
      <c r="Q191" t="s">
        <v>101</v>
      </c>
      <c r="S191" t="s">
        <v>194</v>
      </c>
    </row>
    <row r="192" spans="1:19" x14ac:dyDescent="0.25">
      <c r="A192" t="s">
        <v>335</v>
      </c>
      <c r="B192" s="2">
        <v>46292</v>
      </c>
      <c r="C192" t="s">
        <v>94</v>
      </c>
      <c r="D192" t="s">
        <v>95</v>
      </c>
      <c r="E192" t="s">
        <v>96</v>
      </c>
      <c r="F192" t="s">
        <v>65</v>
      </c>
      <c r="G192" t="s">
        <v>66</v>
      </c>
      <c r="H192" t="s">
        <v>36</v>
      </c>
      <c r="I192">
        <v>2</v>
      </c>
      <c r="J192">
        <v>500</v>
      </c>
      <c r="K192">
        <v>1000</v>
      </c>
      <c r="L192" t="s">
        <v>48</v>
      </c>
      <c r="M192" t="s">
        <v>55</v>
      </c>
      <c r="N192" t="s">
        <v>28</v>
      </c>
      <c r="O192" s="2">
        <v>46298</v>
      </c>
      <c r="P192" s="2">
        <v>46298</v>
      </c>
      <c r="Q192" t="s">
        <v>101</v>
      </c>
    </row>
    <row r="193" spans="1:18" x14ac:dyDescent="0.25">
      <c r="A193" t="s">
        <v>336</v>
      </c>
      <c r="B193" s="2">
        <v>46285</v>
      </c>
      <c r="C193" t="s">
        <v>94</v>
      </c>
      <c r="D193" t="s">
        <v>95</v>
      </c>
      <c r="E193" t="s">
        <v>96</v>
      </c>
      <c r="F193" t="s">
        <v>65</v>
      </c>
      <c r="G193" t="s">
        <v>66</v>
      </c>
      <c r="H193" t="s">
        <v>36</v>
      </c>
      <c r="I193">
        <v>3</v>
      </c>
      <c r="J193">
        <v>500</v>
      </c>
      <c r="K193">
        <v>1500</v>
      </c>
      <c r="L193" t="s">
        <v>79</v>
      </c>
      <c r="M193" t="s">
        <v>55</v>
      </c>
      <c r="N193" t="s">
        <v>56</v>
      </c>
      <c r="O193" s="2">
        <v>46288</v>
      </c>
      <c r="P193" s="2">
        <v>46287</v>
      </c>
      <c r="Q193" t="s">
        <v>101</v>
      </c>
      <c r="R193" t="s">
        <v>322</v>
      </c>
    </row>
    <row r="194" spans="1:18" x14ac:dyDescent="0.25">
      <c r="A194" t="s">
        <v>337</v>
      </c>
      <c r="B194" s="2">
        <v>46281</v>
      </c>
      <c r="C194" t="s">
        <v>139</v>
      </c>
      <c r="D194" t="s">
        <v>140</v>
      </c>
      <c r="E194" t="s">
        <v>96</v>
      </c>
      <c r="F194" t="s">
        <v>136</v>
      </c>
      <c r="G194" t="s">
        <v>137</v>
      </c>
      <c r="H194" t="s">
        <v>47</v>
      </c>
      <c r="I194">
        <v>2</v>
      </c>
      <c r="J194">
        <v>650</v>
      </c>
      <c r="K194">
        <v>1300</v>
      </c>
      <c r="L194" t="s">
        <v>48</v>
      </c>
      <c r="M194" t="s">
        <v>55</v>
      </c>
      <c r="N194" t="s">
        <v>28</v>
      </c>
      <c r="O194" s="2">
        <v>46287</v>
      </c>
      <c r="P194" s="2">
        <v>46286</v>
      </c>
      <c r="Q194" t="s">
        <v>49</v>
      </c>
    </row>
    <row r="195" spans="1:18" x14ac:dyDescent="0.25">
      <c r="A195" t="s">
        <v>338</v>
      </c>
      <c r="B195" s="2">
        <v>46276</v>
      </c>
      <c r="C195" t="s">
        <v>184</v>
      </c>
      <c r="D195" t="s">
        <v>185</v>
      </c>
      <c r="E195" t="s">
        <v>88</v>
      </c>
      <c r="F195" t="s">
        <v>133</v>
      </c>
      <c r="G195" t="s">
        <v>134</v>
      </c>
      <c r="H195" t="s">
        <v>113</v>
      </c>
      <c r="I195">
        <v>4</v>
      </c>
      <c r="J195">
        <v>2200</v>
      </c>
      <c r="K195">
        <v>8800</v>
      </c>
      <c r="L195" t="s">
        <v>79</v>
      </c>
      <c r="M195" t="s">
        <v>55</v>
      </c>
      <c r="N195" t="s">
        <v>28</v>
      </c>
      <c r="O195" s="2">
        <v>46279</v>
      </c>
      <c r="P195" s="2">
        <v>46280</v>
      </c>
      <c r="Q195" t="s">
        <v>101</v>
      </c>
    </row>
    <row r="196" spans="1:18" x14ac:dyDescent="0.25">
      <c r="A196" t="s">
        <v>339</v>
      </c>
      <c r="B196" s="2">
        <v>46277</v>
      </c>
      <c r="C196" t="s">
        <v>184</v>
      </c>
      <c r="D196" t="s">
        <v>185</v>
      </c>
      <c r="E196" t="s">
        <v>88</v>
      </c>
      <c r="F196" t="s">
        <v>34</v>
      </c>
      <c r="G196" t="s">
        <v>35</v>
      </c>
      <c r="H196" t="s">
        <v>36</v>
      </c>
      <c r="I196">
        <v>1</v>
      </c>
      <c r="J196">
        <v>3200</v>
      </c>
      <c r="K196">
        <v>3200</v>
      </c>
      <c r="L196" t="s">
        <v>79</v>
      </c>
      <c r="M196" t="s">
        <v>55</v>
      </c>
      <c r="N196" t="s">
        <v>28</v>
      </c>
      <c r="O196" s="2">
        <v>46281</v>
      </c>
      <c r="P196" s="2">
        <v>46282</v>
      </c>
      <c r="Q196" t="s">
        <v>101</v>
      </c>
    </row>
    <row r="197" spans="1:18" x14ac:dyDescent="0.25">
      <c r="A197" t="s">
        <v>340</v>
      </c>
      <c r="B197" s="2">
        <v>46207</v>
      </c>
      <c r="C197" t="s">
        <v>103</v>
      </c>
      <c r="D197" t="s">
        <v>104</v>
      </c>
      <c r="E197" t="s">
        <v>105</v>
      </c>
      <c r="F197" t="s">
        <v>45</v>
      </c>
      <c r="G197" t="s">
        <v>46</v>
      </c>
      <c r="H197" t="s">
        <v>47</v>
      </c>
      <c r="I197">
        <v>1</v>
      </c>
      <c r="J197">
        <v>1100</v>
      </c>
      <c r="K197">
        <v>1100</v>
      </c>
      <c r="L197" t="s">
        <v>79</v>
      </c>
      <c r="M197" t="s">
        <v>27</v>
      </c>
      <c r="N197" t="s">
        <v>28</v>
      </c>
      <c r="O197" s="2">
        <v>46211</v>
      </c>
      <c r="P197" s="2">
        <v>46212</v>
      </c>
      <c r="Q197" t="s">
        <v>39</v>
      </c>
    </row>
    <row r="198" spans="1:18" x14ac:dyDescent="0.25">
      <c r="A198" t="s">
        <v>341</v>
      </c>
      <c r="B198" s="2">
        <v>46231</v>
      </c>
      <c r="C198" t="s">
        <v>103</v>
      </c>
      <c r="D198" t="s">
        <v>104</v>
      </c>
      <c r="E198" t="s">
        <v>105</v>
      </c>
      <c r="F198" t="s">
        <v>177</v>
      </c>
      <c r="G198" t="s">
        <v>178</v>
      </c>
      <c r="H198" t="s">
        <v>113</v>
      </c>
      <c r="I198">
        <v>4</v>
      </c>
      <c r="J198">
        <v>700</v>
      </c>
      <c r="K198">
        <v>2800</v>
      </c>
      <c r="L198" t="s">
        <v>79</v>
      </c>
      <c r="M198" t="s">
        <v>55</v>
      </c>
      <c r="N198" t="s">
        <v>56</v>
      </c>
      <c r="O198" s="2">
        <v>46238</v>
      </c>
      <c r="P198" s="2">
        <v>46238</v>
      </c>
      <c r="Q198" t="s">
        <v>49</v>
      </c>
      <c r="R198" t="s">
        <v>249</v>
      </c>
    </row>
    <row r="199" spans="1:18" x14ac:dyDescent="0.25">
      <c r="A199" t="s">
        <v>342</v>
      </c>
      <c r="B199" s="2">
        <v>46226</v>
      </c>
      <c r="C199" t="s">
        <v>76</v>
      </c>
      <c r="D199" t="s">
        <v>77</v>
      </c>
      <c r="E199" t="s">
        <v>88</v>
      </c>
      <c r="F199" t="s">
        <v>97</v>
      </c>
      <c r="G199" t="s">
        <v>98</v>
      </c>
      <c r="H199" t="s">
        <v>47</v>
      </c>
      <c r="I199">
        <v>4</v>
      </c>
      <c r="J199">
        <v>1450</v>
      </c>
      <c r="K199">
        <v>5800</v>
      </c>
      <c r="L199" t="s">
        <v>26</v>
      </c>
      <c r="M199" t="s">
        <v>27</v>
      </c>
      <c r="N199" t="s">
        <v>28</v>
      </c>
      <c r="O199" s="2">
        <v>46232</v>
      </c>
      <c r="P199" s="2">
        <v>46231</v>
      </c>
      <c r="Q199" t="s">
        <v>101</v>
      </c>
    </row>
    <row r="200" spans="1:18" x14ac:dyDescent="0.25">
      <c r="A200" t="s">
        <v>343</v>
      </c>
      <c r="B200" s="2">
        <v>46242</v>
      </c>
      <c r="C200" t="s">
        <v>51</v>
      </c>
      <c r="D200" t="s">
        <v>52</v>
      </c>
      <c r="E200" t="s">
        <v>44</v>
      </c>
      <c r="F200" t="s">
        <v>23</v>
      </c>
      <c r="G200" t="s">
        <v>24</v>
      </c>
      <c r="H200" t="s">
        <v>25</v>
      </c>
      <c r="I200">
        <v>3</v>
      </c>
      <c r="J200">
        <v>120</v>
      </c>
      <c r="K200">
        <v>360</v>
      </c>
      <c r="L200" t="s">
        <v>61</v>
      </c>
      <c r="M200" t="s">
        <v>27</v>
      </c>
      <c r="N200" t="s">
        <v>28</v>
      </c>
      <c r="O200" s="2">
        <v>46246</v>
      </c>
      <c r="P200" s="2">
        <v>46248</v>
      </c>
      <c r="Q200" t="s">
        <v>101</v>
      </c>
    </row>
    <row r="201" spans="1:18" x14ac:dyDescent="0.25">
      <c r="A201" t="s">
        <v>344</v>
      </c>
      <c r="B201" s="2">
        <v>46229</v>
      </c>
      <c r="C201" t="s">
        <v>31</v>
      </c>
      <c r="D201" t="s">
        <v>32</v>
      </c>
      <c r="E201" t="s">
        <v>33</v>
      </c>
      <c r="F201" t="s">
        <v>45</v>
      </c>
      <c r="G201" t="s">
        <v>46</v>
      </c>
      <c r="H201" t="s">
        <v>47</v>
      </c>
      <c r="I201">
        <v>1</v>
      </c>
      <c r="J201">
        <v>1100</v>
      </c>
      <c r="K201">
        <v>1100</v>
      </c>
      <c r="L201" t="s">
        <v>79</v>
      </c>
      <c r="M201" t="s">
        <v>55</v>
      </c>
      <c r="N201" t="s">
        <v>100</v>
      </c>
      <c r="O201" s="2">
        <v>46233</v>
      </c>
      <c r="P201" s="2"/>
      <c r="Q201" t="s">
        <v>39</v>
      </c>
    </row>
  </sheetData>
  <autoFilter ref="A1:S2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01"/>
  <sheetViews>
    <sheetView topLeftCell="A2" workbookViewId="0">
      <selection activeCell="C11" sqref="C11"/>
    </sheetView>
  </sheetViews>
  <sheetFormatPr defaultRowHeight="15" x14ac:dyDescent="0.25"/>
  <cols>
    <col min="1" max="1" width="12" customWidth="1"/>
    <col min="2" max="2" width="14" style="4" customWidth="1"/>
    <col min="3" max="3" width="14.5703125" customWidth="1"/>
    <col min="4" max="5" width="18" customWidth="1"/>
    <col min="6" max="6" width="12.85546875" customWidth="1"/>
    <col min="7" max="7" width="22" customWidth="1"/>
    <col min="8" max="8" width="20" customWidth="1"/>
    <col min="9" max="9" width="10.85546875" customWidth="1"/>
    <col min="10" max="10" width="12.42578125" customWidth="1"/>
    <col min="11" max="11" width="15.7109375" customWidth="1"/>
    <col min="12" max="12" width="20" customWidth="1"/>
    <col min="13" max="13" width="17.42578125" customWidth="1"/>
    <col min="14" max="14" width="18" customWidth="1"/>
    <col min="15" max="15" width="24.85546875" style="4" customWidth="1"/>
    <col min="16" max="16" width="22.28515625" customWidth="1"/>
    <col min="17" max="17" width="18.140625" customWidth="1"/>
    <col min="18" max="18" width="24" customWidth="1"/>
    <col min="19" max="19" width="18" customWidth="1"/>
    <col min="20" max="20" width="22.140625" customWidth="1"/>
    <col min="21" max="21" width="30.28515625" customWidth="1"/>
    <col min="22" max="22" width="17" customWidth="1"/>
  </cols>
  <sheetData>
    <row r="1" spans="1:22" x14ac:dyDescent="0.25">
      <c r="A1" s="1" t="s">
        <v>0</v>
      </c>
      <c r="B1" s="3" t="s">
        <v>1</v>
      </c>
      <c r="C1" s="1" t="s">
        <v>2</v>
      </c>
      <c r="D1" s="1" t="s">
        <v>3</v>
      </c>
      <c r="E1" s="1" t="s">
        <v>4</v>
      </c>
      <c r="F1" s="1" t="s">
        <v>5</v>
      </c>
      <c r="G1" s="1" t="s">
        <v>6</v>
      </c>
      <c r="H1" s="1" t="s">
        <v>7</v>
      </c>
      <c r="I1" s="1" t="s">
        <v>8</v>
      </c>
      <c r="J1" s="1" t="s">
        <v>9</v>
      </c>
      <c r="K1" s="1" t="s">
        <v>10</v>
      </c>
      <c r="L1" s="1" t="s">
        <v>11</v>
      </c>
      <c r="M1" s="1" t="s">
        <v>12</v>
      </c>
      <c r="N1" s="9" t="s">
        <v>13</v>
      </c>
      <c r="O1" s="3" t="s">
        <v>14</v>
      </c>
      <c r="P1" s="1" t="s">
        <v>15</v>
      </c>
      <c r="Q1" s="1" t="s">
        <v>16</v>
      </c>
      <c r="R1" s="1" t="s">
        <v>17</v>
      </c>
      <c r="S1" s="1" t="s">
        <v>18</v>
      </c>
      <c r="T1" s="11" t="s">
        <v>354</v>
      </c>
      <c r="U1" s="12" t="s">
        <v>359</v>
      </c>
      <c r="V1" s="14" t="s">
        <v>360</v>
      </c>
    </row>
    <row r="2" spans="1:22" x14ac:dyDescent="0.25">
      <c r="A2" t="s">
        <v>19</v>
      </c>
      <c r="B2" s="4">
        <v>46295</v>
      </c>
      <c r="C2" t="s">
        <v>20</v>
      </c>
      <c r="D2" t="s">
        <v>21</v>
      </c>
      <c r="E2" t="s">
        <v>22</v>
      </c>
      <c r="F2" t="s">
        <v>23</v>
      </c>
      <c r="G2" t="s">
        <v>24</v>
      </c>
      <c r="H2" t="s">
        <v>25</v>
      </c>
      <c r="I2">
        <v>2</v>
      </c>
      <c r="J2">
        <v>120</v>
      </c>
      <c r="K2">
        <v>240</v>
      </c>
      <c r="L2" t="s">
        <v>26</v>
      </c>
      <c r="M2" t="s">
        <v>27</v>
      </c>
      <c r="N2" t="s">
        <v>28</v>
      </c>
      <c r="O2" s="4">
        <v>46300</v>
      </c>
      <c r="P2" s="2">
        <v>46301</v>
      </c>
      <c r="Q2" t="s">
        <v>29</v>
      </c>
      <c r="T2" s="10">
        <f>IF(P2="","",P2-O2)</f>
        <v>1</v>
      </c>
      <c r="U2" s="13" t="str">
        <f t="shared" ref="U2:U33" si="0">IF(T2="","Not Delivered",IF(T2&lt;=0,"On Time",IF(T2&lt;=2,"Slightly Delayed","Delayed")))</f>
        <v>Slightly Delayed</v>
      </c>
      <c r="V2" s="15" t="str">
        <f>TEXT(B2,"mmmm")</f>
        <v>September</v>
      </c>
    </row>
    <row r="3" spans="1:22" x14ac:dyDescent="0.25">
      <c r="A3" t="s">
        <v>30</v>
      </c>
      <c r="B3" s="4">
        <v>46235</v>
      </c>
      <c r="C3" t="s">
        <v>31</v>
      </c>
      <c r="D3" t="s">
        <v>32</v>
      </c>
      <c r="E3" t="s">
        <v>33</v>
      </c>
      <c r="F3" t="s">
        <v>34</v>
      </c>
      <c r="G3" t="s">
        <v>35</v>
      </c>
      <c r="H3" t="s">
        <v>36</v>
      </c>
      <c r="I3">
        <v>1</v>
      </c>
      <c r="J3">
        <v>3200</v>
      </c>
      <c r="K3">
        <v>3200</v>
      </c>
      <c r="L3" t="s">
        <v>26</v>
      </c>
      <c r="M3" t="s">
        <v>37</v>
      </c>
      <c r="N3" t="s">
        <v>38</v>
      </c>
      <c r="O3" s="4">
        <v>46239</v>
      </c>
      <c r="P3" s="2"/>
      <c r="Q3" t="s">
        <v>39</v>
      </c>
      <c r="S3" t="s">
        <v>40</v>
      </c>
      <c r="T3" s="10" t="str">
        <f t="shared" ref="T3:T66" si="1">IF(P3="","",P3-O3)</f>
        <v/>
      </c>
      <c r="U3" s="13" t="str">
        <f t="shared" si="0"/>
        <v>Not Delivered</v>
      </c>
      <c r="V3" s="15" t="str">
        <f t="shared" ref="V3:V66" si="2">TEXT(B3,"mmmm")</f>
        <v>August</v>
      </c>
    </row>
    <row r="4" spans="1:22" x14ac:dyDescent="0.25">
      <c r="A4" t="s">
        <v>41</v>
      </c>
      <c r="B4" s="4">
        <v>46204</v>
      </c>
      <c r="C4" t="s">
        <v>42</v>
      </c>
      <c r="D4" t="s">
        <v>43</v>
      </c>
      <c r="E4" t="s">
        <v>44</v>
      </c>
      <c r="F4" t="s">
        <v>45</v>
      </c>
      <c r="G4" t="s">
        <v>46</v>
      </c>
      <c r="H4" t="s">
        <v>47</v>
      </c>
      <c r="I4">
        <v>2</v>
      </c>
      <c r="J4">
        <v>1100</v>
      </c>
      <c r="K4">
        <v>2200</v>
      </c>
      <c r="L4" t="s">
        <v>48</v>
      </c>
      <c r="M4" t="s">
        <v>27</v>
      </c>
      <c r="N4" t="s">
        <v>28</v>
      </c>
      <c r="O4" s="4">
        <v>46207</v>
      </c>
      <c r="P4" s="2">
        <v>46209</v>
      </c>
      <c r="Q4" t="s">
        <v>49</v>
      </c>
      <c r="T4" s="10">
        <f t="shared" si="1"/>
        <v>2</v>
      </c>
      <c r="U4" s="13" t="str">
        <f t="shared" si="0"/>
        <v>Slightly Delayed</v>
      </c>
      <c r="V4" s="15" t="str">
        <f t="shared" si="2"/>
        <v>July</v>
      </c>
    </row>
    <row r="5" spans="1:22" x14ac:dyDescent="0.25">
      <c r="A5" t="s">
        <v>50</v>
      </c>
      <c r="B5" s="4">
        <v>46213</v>
      </c>
      <c r="C5" t="s">
        <v>51</v>
      </c>
      <c r="D5" t="s">
        <v>52</v>
      </c>
      <c r="E5" t="s">
        <v>44</v>
      </c>
      <c r="F5" t="s">
        <v>53</v>
      </c>
      <c r="G5" t="s">
        <v>54</v>
      </c>
      <c r="H5" t="s">
        <v>47</v>
      </c>
      <c r="I5">
        <v>3</v>
      </c>
      <c r="J5">
        <v>850</v>
      </c>
      <c r="K5">
        <v>2550</v>
      </c>
      <c r="L5" t="s">
        <v>26</v>
      </c>
      <c r="M5" t="s">
        <v>55</v>
      </c>
      <c r="N5" t="s">
        <v>56</v>
      </c>
      <c r="O5" s="4">
        <v>46220</v>
      </c>
      <c r="P5" s="2">
        <v>46220</v>
      </c>
      <c r="Q5" t="s">
        <v>29</v>
      </c>
      <c r="R5" t="s">
        <v>57</v>
      </c>
      <c r="T5" s="10">
        <f t="shared" si="1"/>
        <v>0</v>
      </c>
      <c r="U5" s="13" t="str">
        <f t="shared" si="0"/>
        <v>On Time</v>
      </c>
      <c r="V5" s="15" t="str">
        <f t="shared" si="2"/>
        <v>July</v>
      </c>
    </row>
    <row r="6" spans="1:22" x14ac:dyDescent="0.25">
      <c r="A6" t="s">
        <v>58</v>
      </c>
      <c r="B6" s="4">
        <v>46235</v>
      </c>
      <c r="C6" t="s">
        <v>42</v>
      </c>
      <c r="D6" t="s">
        <v>43</v>
      </c>
      <c r="E6" t="s">
        <v>44</v>
      </c>
      <c r="F6" t="s">
        <v>59</v>
      </c>
      <c r="G6" t="s">
        <v>60</v>
      </c>
      <c r="H6" t="s">
        <v>47</v>
      </c>
      <c r="I6">
        <v>4</v>
      </c>
      <c r="J6">
        <v>350</v>
      </c>
      <c r="K6">
        <v>1400</v>
      </c>
      <c r="L6" t="s">
        <v>61</v>
      </c>
      <c r="M6" t="s">
        <v>55</v>
      </c>
      <c r="N6" t="s">
        <v>28</v>
      </c>
      <c r="O6" s="4">
        <v>46241</v>
      </c>
      <c r="P6" s="2">
        <v>46244</v>
      </c>
      <c r="Q6" t="s">
        <v>39</v>
      </c>
      <c r="T6" s="10">
        <f t="shared" si="1"/>
        <v>3</v>
      </c>
      <c r="U6" s="13" t="str">
        <f t="shared" si="0"/>
        <v>Delayed</v>
      </c>
      <c r="V6" s="15" t="str">
        <f t="shared" si="2"/>
        <v>August</v>
      </c>
    </row>
    <row r="7" spans="1:22" x14ac:dyDescent="0.25">
      <c r="A7" t="s">
        <v>62</v>
      </c>
      <c r="B7" s="4">
        <v>46258</v>
      </c>
      <c r="C7" t="s">
        <v>63</v>
      </c>
      <c r="D7" t="s">
        <v>64</v>
      </c>
      <c r="E7" t="s">
        <v>353</v>
      </c>
      <c r="F7" t="s">
        <v>65</v>
      </c>
      <c r="G7" t="s">
        <v>66</v>
      </c>
      <c r="H7" t="s">
        <v>36</v>
      </c>
      <c r="I7">
        <v>3</v>
      </c>
      <c r="J7">
        <v>500</v>
      </c>
      <c r="K7">
        <v>1500</v>
      </c>
      <c r="L7" t="s">
        <v>48</v>
      </c>
      <c r="M7" t="s">
        <v>55</v>
      </c>
      <c r="N7" t="s">
        <v>67</v>
      </c>
      <c r="O7" s="4">
        <v>46264</v>
      </c>
      <c r="P7" s="2"/>
      <c r="Q7" t="s">
        <v>39</v>
      </c>
      <c r="T7" s="10" t="str">
        <f t="shared" si="1"/>
        <v/>
      </c>
      <c r="U7" s="13" t="str">
        <f t="shared" si="0"/>
        <v>Not Delivered</v>
      </c>
      <c r="V7" s="15" t="str">
        <f t="shared" si="2"/>
        <v>August</v>
      </c>
    </row>
    <row r="8" spans="1:22" x14ac:dyDescent="0.25">
      <c r="A8" t="s">
        <v>68</v>
      </c>
      <c r="B8" s="4">
        <v>46217</v>
      </c>
      <c r="C8" t="s">
        <v>69</v>
      </c>
      <c r="D8" t="s">
        <v>70</v>
      </c>
      <c r="E8" t="s">
        <v>71</v>
      </c>
      <c r="F8" t="s">
        <v>72</v>
      </c>
      <c r="G8" t="s">
        <v>73</v>
      </c>
      <c r="H8" t="s">
        <v>36</v>
      </c>
      <c r="I8">
        <v>3</v>
      </c>
      <c r="J8">
        <v>950</v>
      </c>
      <c r="K8">
        <v>2850</v>
      </c>
      <c r="L8" t="s">
        <v>74</v>
      </c>
      <c r="M8" t="s">
        <v>55</v>
      </c>
      <c r="N8" t="s">
        <v>28</v>
      </c>
      <c r="O8" s="4">
        <v>46221</v>
      </c>
      <c r="P8" s="2">
        <v>46221</v>
      </c>
      <c r="Q8" t="s">
        <v>29</v>
      </c>
      <c r="T8" s="10">
        <f t="shared" si="1"/>
        <v>0</v>
      </c>
      <c r="U8" s="13" t="str">
        <f t="shared" si="0"/>
        <v>On Time</v>
      </c>
      <c r="V8" s="15" t="str">
        <f t="shared" si="2"/>
        <v>July</v>
      </c>
    </row>
    <row r="9" spans="1:22" x14ac:dyDescent="0.25">
      <c r="A9" t="s">
        <v>75</v>
      </c>
      <c r="B9" s="4">
        <v>46239</v>
      </c>
      <c r="C9" t="s">
        <v>76</v>
      </c>
      <c r="D9" t="s">
        <v>77</v>
      </c>
      <c r="E9" t="s">
        <v>105</v>
      </c>
      <c r="F9" t="s">
        <v>65</v>
      </c>
      <c r="G9" t="s">
        <v>66</v>
      </c>
      <c r="H9" t="s">
        <v>36</v>
      </c>
      <c r="I9">
        <v>2</v>
      </c>
      <c r="J9">
        <v>500</v>
      </c>
      <c r="K9">
        <v>1000</v>
      </c>
      <c r="L9" t="s">
        <v>79</v>
      </c>
      <c r="M9" t="s">
        <v>55</v>
      </c>
      <c r="N9" t="s">
        <v>28</v>
      </c>
      <c r="O9" s="4">
        <v>46245</v>
      </c>
      <c r="P9" s="2">
        <v>46245</v>
      </c>
      <c r="Q9" t="s">
        <v>39</v>
      </c>
      <c r="T9" s="10">
        <f t="shared" si="1"/>
        <v>0</v>
      </c>
      <c r="U9" s="13" t="str">
        <f t="shared" si="0"/>
        <v>On Time</v>
      </c>
      <c r="V9" s="15" t="str">
        <f t="shared" si="2"/>
        <v>August</v>
      </c>
    </row>
    <row r="10" spans="1:22" x14ac:dyDescent="0.25">
      <c r="A10" t="s">
        <v>80</v>
      </c>
      <c r="B10" s="4">
        <v>46215</v>
      </c>
      <c r="C10" t="s">
        <v>69</v>
      </c>
      <c r="D10" t="s">
        <v>70</v>
      </c>
      <c r="E10" t="s">
        <v>71</v>
      </c>
      <c r="F10" t="s">
        <v>23</v>
      </c>
      <c r="G10" t="s">
        <v>24</v>
      </c>
      <c r="H10" t="s">
        <v>25</v>
      </c>
      <c r="I10">
        <v>1</v>
      </c>
      <c r="J10">
        <v>120</v>
      </c>
      <c r="K10">
        <v>120</v>
      </c>
      <c r="L10" t="s">
        <v>79</v>
      </c>
      <c r="M10" t="s">
        <v>55</v>
      </c>
      <c r="N10" t="s">
        <v>28</v>
      </c>
      <c r="O10" s="4">
        <v>46219</v>
      </c>
      <c r="P10" s="2">
        <v>46219</v>
      </c>
      <c r="Q10" t="s">
        <v>29</v>
      </c>
      <c r="T10" s="10">
        <f t="shared" si="1"/>
        <v>0</v>
      </c>
      <c r="U10" s="13" t="str">
        <f t="shared" si="0"/>
        <v>On Time</v>
      </c>
      <c r="V10" s="15" t="str">
        <f t="shared" si="2"/>
        <v>July</v>
      </c>
    </row>
    <row r="11" spans="1:22" x14ac:dyDescent="0.25">
      <c r="A11" t="s">
        <v>81</v>
      </c>
      <c r="B11" s="4">
        <v>46225</v>
      </c>
      <c r="C11" t="s">
        <v>20</v>
      </c>
      <c r="D11" t="s">
        <v>21</v>
      </c>
      <c r="E11" t="s">
        <v>22</v>
      </c>
      <c r="F11" t="s">
        <v>72</v>
      </c>
      <c r="G11" t="s">
        <v>73</v>
      </c>
      <c r="H11" t="s">
        <v>36</v>
      </c>
      <c r="I11">
        <v>1</v>
      </c>
      <c r="J11">
        <v>950</v>
      </c>
      <c r="K11">
        <v>950</v>
      </c>
      <c r="L11" t="s">
        <v>26</v>
      </c>
      <c r="M11" t="s">
        <v>55</v>
      </c>
      <c r="N11" t="s">
        <v>28</v>
      </c>
      <c r="O11" s="4">
        <v>46231</v>
      </c>
      <c r="P11" s="2">
        <v>46230</v>
      </c>
      <c r="Q11" t="s">
        <v>29</v>
      </c>
      <c r="T11" s="10">
        <f t="shared" si="1"/>
        <v>-1</v>
      </c>
      <c r="U11" s="13" t="str">
        <f t="shared" si="0"/>
        <v>On Time</v>
      </c>
      <c r="V11" s="15" t="str">
        <f t="shared" si="2"/>
        <v>July</v>
      </c>
    </row>
    <row r="12" spans="1:22" x14ac:dyDescent="0.25">
      <c r="A12" t="s">
        <v>82</v>
      </c>
      <c r="B12" s="4">
        <v>46223</v>
      </c>
      <c r="C12" t="s">
        <v>83</v>
      </c>
      <c r="D12" t="s">
        <v>84</v>
      </c>
      <c r="E12" t="s">
        <v>71</v>
      </c>
      <c r="F12" t="s">
        <v>65</v>
      </c>
      <c r="G12" t="s">
        <v>66</v>
      </c>
      <c r="H12" t="s">
        <v>36</v>
      </c>
      <c r="I12">
        <v>4</v>
      </c>
      <c r="J12">
        <v>500</v>
      </c>
      <c r="K12">
        <v>2000</v>
      </c>
      <c r="L12" t="s">
        <v>61</v>
      </c>
      <c r="M12" t="s">
        <v>55</v>
      </c>
      <c r="N12" t="s">
        <v>67</v>
      </c>
      <c r="O12" s="4">
        <v>46227</v>
      </c>
      <c r="P12" s="2"/>
      <c r="Q12" t="s">
        <v>39</v>
      </c>
      <c r="T12" s="10" t="str">
        <f t="shared" si="1"/>
        <v/>
      </c>
      <c r="U12" s="13" t="str">
        <f t="shared" si="0"/>
        <v>Not Delivered</v>
      </c>
      <c r="V12" s="15" t="str">
        <f t="shared" si="2"/>
        <v>July</v>
      </c>
    </row>
    <row r="13" spans="1:22" x14ac:dyDescent="0.25">
      <c r="A13" t="s">
        <v>85</v>
      </c>
      <c r="B13" s="4">
        <v>46244</v>
      </c>
      <c r="C13" t="s">
        <v>86</v>
      </c>
      <c r="D13" t="s">
        <v>87</v>
      </c>
      <c r="E13" t="s">
        <v>88</v>
      </c>
      <c r="F13" t="s">
        <v>23</v>
      </c>
      <c r="G13" t="s">
        <v>24</v>
      </c>
      <c r="H13" t="s">
        <v>25</v>
      </c>
      <c r="I13">
        <v>1</v>
      </c>
      <c r="J13">
        <v>120</v>
      </c>
      <c r="K13">
        <v>120</v>
      </c>
      <c r="L13" t="s">
        <v>74</v>
      </c>
      <c r="M13" t="s">
        <v>55</v>
      </c>
      <c r="N13" t="s">
        <v>89</v>
      </c>
      <c r="O13" s="4">
        <v>46247</v>
      </c>
      <c r="P13" s="2"/>
      <c r="Q13" t="s">
        <v>29</v>
      </c>
      <c r="T13" s="10" t="str">
        <f t="shared" si="1"/>
        <v/>
      </c>
      <c r="U13" s="13" t="str">
        <f t="shared" si="0"/>
        <v>Not Delivered</v>
      </c>
      <c r="V13" s="15" t="str">
        <f t="shared" si="2"/>
        <v>August</v>
      </c>
    </row>
    <row r="14" spans="1:22" x14ac:dyDescent="0.25">
      <c r="A14" t="s">
        <v>90</v>
      </c>
      <c r="B14" s="4">
        <v>46211</v>
      </c>
      <c r="C14" t="s">
        <v>31</v>
      </c>
      <c r="D14" t="s">
        <v>32</v>
      </c>
      <c r="E14" t="s">
        <v>33</v>
      </c>
      <c r="F14" t="s">
        <v>91</v>
      </c>
      <c r="G14" t="s">
        <v>92</v>
      </c>
      <c r="H14" t="s">
        <v>25</v>
      </c>
      <c r="I14">
        <v>2</v>
      </c>
      <c r="J14">
        <v>180</v>
      </c>
      <c r="K14">
        <v>360</v>
      </c>
      <c r="L14" t="s">
        <v>61</v>
      </c>
      <c r="M14" t="s">
        <v>55</v>
      </c>
      <c r="N14" t="s">
        <v>67</v>
      </c>
      <c r="O14" s="4">
        <v>46218</v>
      </c>
      <c r="P14" s="2"/>
      <c r="Q14" t="s">
        <v>39</v>
      </c>
      <c r="T14" s="10" t="str">
        <f t="shared" si="1"/>
        <v/>
      </c>
      <c r="U14" s="13" t="str">
        <f t="shared" si="0"/>
        <v>Not Delivered</v>
      </c>
      <c r="V14" s="15" t="str">
        <f t="shared" si="2"/>
        <v>July</v>
      </c>
    </row>
    <row r="15" spans="1:22" x14ac:dyDescent="0.25">
      <c r="A15" t="s">
        <v>93</v>
      </c>
      <c r="B15" s="4">
        <v>46255</v>
      </c>
      <c r="C15" t="s">
        <v>94</v>
      </c>
      <c r="D15" t="s">
        <v>95</v>
      </c>
      <c r="E15" t="s">
        <v>96</v>
      </c>
      <c r="F15" t="s">
        <v>97</v>
      </c>
      <c r="G15" t="s">
        <v>98</v>
      </c>
      <c r="H15" t="s">
        <v>47</v>
      </c>
      <c r="I15">
        <v>2</v>
      </c>
      <c r="J15">
        <v>1450</v>
      </c>
      <c r="K15">
        <v>2900</v>
      </c>
      <c r="L15" t="s">
        <v>74</v>
      </c>
      <c r="M15" t="s">
        <v>55</v>
      </c>
      <c r="N15" t="s">
        <v>28</v>
      </c>
      <c r="O15" s="4">
        <v>46258</v>
      </c>
      <c r="P15" s="2">
        <v>46259</v>
      </c>
      <c r="Q15" t="s">
        <v>39</v>
      </c>
      <c r="T15" s="10">
        <f t="shared" si="1"/>
        <v>1</v>
      </c>
      <c r="U15" s="13" t="str">
        <f t="shared" si="0"/>
        <v>Slightly Delayed</v>
      </c>
      <c r="V15" s="15" t="str">
        <f t="shared" si="2"/>
        <v>August</v>
      </c>
    </row>
    <row r="16" spans="1:22" x14ac:dyDescent="0.25">
      <c r="A16" t="s">
        <v>99</v>
      </c>
      <c r="B16" s="4">
        <v>46288</v>
      </c>
      <c r="C16" t="s">
        <v>94</v>
      </c>
      <c r="D16" t="s">
        <v>95</v>
      </c>
      <c r="E16" t="s">
        <v>96</v>
      </c>
      <c r="F16" t="s">
        <v>97</v>
      </c>
      <c r="G16" t="s">
        <v>98</v>
      </c>
      <c r="H16" t="s">
        <v>47</v>
      </c>
      <c r="I16">
        <v>4</v>
      </c>
      <c r="J16">
        <v>1450</v>
      </c>
      <c r="K16">
        <v>5800</v>
      </c>
      <c r="L16" t="s">
        <v>74</v>
      </c>
      <c r="M16" t="s">
        <v>27</v>
      </c>
      <c r="N16" t="s">
        <v>100</v>
      </c>
      <c r="O16" s="4">
        <v>46295</v>
      </c>
      <c r="P16" s="2"/>
      <c r="Q16" t="s">
        <v>101</v>
      </c>
      <c r="T16" s="10" t="str">
        <f t="shared" si="1"/>
        <v/>
      </c>
      <c r="U16" s="13" t="str">
        <f t="shared" si="0"/>
        <v>Not Delivered</v>
      </c>
      <c r="V16" s="15" t="str">
        <f t="shared" si="2"/>
        <v>September</v>
      </c>
    </row>
    <row r="17" spans="1:22" x14ac:dyDescent="0.25">
      <c r="A17" t="s">
        <v>102</v>
      </c>
      <c r="B17" s="4">
        <v>46234</v>
      </c>
      <c r="C17" t="s">
        <v>103</v>
      </c>
      <c r="D17" t="s">
        <v>104</v>
      </c>
      <c r="E17" t="s">
        <v>105</v>
      </c>
      <c r="F17" t="s">
        <v>106</v>
      </c>
      <c r="G17" t="s">
        <v>107</v>
      </c>
      <c r="H17" t="s">
        <v>47</v>
      </c>
      <c r="I17">
        <v>3</v>
      </c>
      <c r="J17">
        <v>2500</v>
      </c>
      <c r="K17">
        <v>7500</v>
      </c>
      <c r="L17" t="s">
        <v>61</v>
      </c>
      <c r="M17" t="s">
        <v>55</v>
      </c>
      <c r="N17" t="s">
        <v>89</v>
      </c>
      <c r="O17" s="4">
        <v>46239</v>
      </c>
      <c r="P17" s="2"/>
      <c r="Q17" t="s">
        <v>101</v>
      </c>
      <c r="T17" s="10" t="str">
        <f t="shared" si="1"/>
        <v/>
      </c>
      <c r="U17" s="13" t="str">
        <f t="shared" si="0"/>
        <v>Not Delivered</v>
      </c>
      <c r="V17" s="15" t="str">
        <f t="shared" si="2"/>
        <v>July</v>
      </c>
    </row>
    <row r="18" spans="1:22" x14ac:dyDescent="0.25">
      <c r="A18" t="s">
        <v>108</v>
      </c>
      <c r="B18" s="4">
        <v>46205</v>
      </c>
      <c r="C18" t="s">
        <v>109</v>
      </c>
      <c r="D18" t="s">
        <v>110</v>
      </c>
      <c r="E18" t="s">
        <v>105</v>
      </c>
      <c r="F18" t="s">
        <v>111</v>
      </c>
      <c r="G18" t="s">
        <v>112</v>
      </c>
      <c r="H18" t="s">
        <v>113</v>
      </c>
      <c r="I18">
        <v>1</v>
      </c>
      <c r="J18">
        <v>1250</v>
      </c>
      <c r="K18">
        <v>1250</v>
      </c>
      <c r="L18" t="s">
        <v>48</v>
      </c>
      <c r="M18" t="s">
        <v>27</v>
      </c>
      <c r="N18" t="s">
        <v>28</v>
      </c>
      <c r="O18" s="4">
        <v>46211</v>
      </c>
      <c r="P18" s="2">
        <v>46212</v>
      </c>
      <c r="Q18" t="s">
        <v>39</v>
      </c>
      <c r="T18" s="10">
        <f t="shared" si="1"/>
        <v>1</v>
      </c>
      <c r="U18" s="13" t="str">
        <f t="shared" si="0"/>
        <v>Slightly Delayed</v>
      </c>
      <c r="V18" s="15" t="str">
        <f t="shared" si="2"/>
        <v>July</v>
      </c>
    </row>
    <row r="19" spans="1:22" x14ac:dyDescent="0.25">
      <c r="A19" t="s">
        <v>114</v>
      </c>
      <c r="B19" s="4">
        <v>46220</v>
      </c>
      <c r="C19" t="s">
        <v>42</v>
      </c>
      <c r="D19" t="s">
        <v>43</v>
      </c>
      <c r="E19" t="s">
        <v>44</v>
      </c>
      <c r="F19" t="s">
        <v>106</v>
      </c>
      <c r="G19" t="s">
        <v>107</v>
      </c>
      <c r="H19" t="s">
        <v>47</v>
      </c>
      <c r="I19">
        <v>3</v>
      </c>
      <c r="J19">
        <v>2500</v>
      </c>
      <c r="K19">
        <v>7500</v>
      </c>
      <c r="L19" t="s">
        <v>61</v>
      </c>
      <c r="M19" t="s">
        <v>55</v>
      </c>
      <c r="N19" t="s">
        <v>67</v>
      </c>
      <c r="O19" s="4">
        <v>46225</v>
      </c>
      <c r="P19" s="2"/>
      <c r="Q19" t="s">
        <v>101</v>
      </c>
      <c r="T19" s="10" t="str">
        <f t="shared" si="1"/>
        <v/>
      </c>
      <c r="U19" s="13" t="str">
        <f t="shared" si="0"/>
        <v>Not Delivered</v>
      </c>
      <c r="V19" s="15" t="str">
        <f t="shared" si="2"/>
        <v>July</v>
      </c>
    </row>
    <row r="20" spans="1:22" x14ac:dyDescent="0.25">
      <c r="A20" t="s">
        <v>115</v>
      </c>
      <c r="B20" s="4">
        <v>46273</v>
      </c>
      <c r="C20" t="s">
        <v>83</v>
      </c>
      <c r="D20" t="s">
        <v>84</v>
      </c>
      <c r="E20" t="s">
        <v>71</v>
      </c>
      <c r="F20" t="s">
        <v>116</v>
      </c>
      <c r="G20" t="s">
        <v>117</v>
      </c>
      <c r="H20" t="s">
        <v>47</v>
      </c>
      <c r="I20">
        <v>4</v>
      </c>
      <c r="J20">
        <v>1200</v>
      </c>
      <c r="K20">
        <v>4800</v>
      </c>
      <c r="L20" t="s">
        <v>74</v>
      </c>
      <c r="M20" t="s">
        <v>27</v>
      </c>
      <c r="N20" t="s">
        <v>28</v>
      </c>
      <c r="O20" s="4">
        <v>46278</v>
      </c>
      <c r="P20" s="2">
        <v>46279</v>
      </c>
      <c r="Q20" t="s">
        <v>39</v>
      </c>
      <c r="T20" s="10">
        <f t="shared" si="1"/>
        <v>1</v>
      </c>
      <c r="U20" s="13" t="str">
        <f t="shared" si="0"/>
        <v>Slightly Delayed</v>
      </c>
      <c r="V20" s="15" t="str">
        <f t="shared" si="2"/>
        <v>September</v>
      </c>
    </row>
    <row r="21" spans="1:22" x14ac:dyDescent="0.25">
      <c r="A21" t="s">
        <v>118</v>
      </c>
      <c r="B21" s="4">
        <v>46221</v>
      </c>
      <c r="C21" t="s">
        <v>42</v>
      </c>
      <c r="D21" t="s">
        <v>43</v>
      </c>
      <c r="E21" t="s">
        <v>44</v>
      </c>
      <c r="F21" t="s">
        <v>119</v>
      </c>
      <c r="G21" t="s">
        <v>120</v>
      </c>
      <c r="H21" t="s">
        <v>113</v>
      </c>
      <c r="I21">
        <v>1</v>
      </c>
      <c r="J21">
        <v>1400</v>
      </c>
      <c r="K21">
        <v>1400</v>
      </c>
      <c r="L21" t="s">
        <v>74</v>
      </c>
      <c r="M21" t="s">
        <v>55</v>
      </c>
      <c r="N21" t="s">
        <v>28</v>
      </c>
      <c r="O21" s="4">
        <v>46226</v>
      </c>
      <c r="P21" s="2">
        <v>46225</v>
      </c>
      <c r="Q21" t="s">
        <v>49</v>
      </c>
      <c r="T21" s="10">
        <f t="shared" si="1"/>
        <v>-1</v>
      </c>
      <c r="U21" s="13" t="str">
        <f t="shared" si="0"/>
        <v>On Time</v>
      </c>
      <c r="V21" s="15" t="str">
        <f t="shared" si="2"/>
        <v>July</v>
      </c>
    </row>
    <row r="22" spans="1:22" x14ac:dyDescent="0.25">
      <c r="A22" t="s">
        <v>121</v>
      </c>
      <c r="B22" s="4">
        <v>46295</v>
      </c>
      <c r="C22" t="s">
        <v>103</v>
      </c>
      <c r="D22" t="s">
        <v>104</v>
      </c>
      <c r="E22" t="s">
        <v>105</v>
      </c>
      <c r="F22" t="s">
        <v>119</v>
      </c>
      <c r="G22" t="s">
        <v>120</v>
      </c>
      <c r="H22" t="s">
        <v>113</v>
      </c>
      <c r="I22">
        <v>2</v>
      </c>
      <c r="J22">
        <v>1400</v>
      </c>
      <c r="K22">
        <v>2800</v>
      </c>
      <c r="L22" t="s">
        <v>26</v>
      </c>
      <c r="M22" t="s">
        <v>55</v>
      </c>
      <c r="N22" t="s">
        <v>100</v>
      </c>
      <c r="O22" s="4">
        <v>46300</v>
      </c>
      <c r="P22" s="2"/>
      <c r="Q22" t="s">
        <v>29</v>
      </c>
      <c r="T22" s="10" t="str">
        <f t="shared" si="1"/>
        <v/>
      </c>
      <c r="U22" s="13" t="str">
        <f t="shared" si="0"/>
        <v>Not Delivered</v>
      </c>
      <c r="V22" s="15" t="str">
        <f t="shared" si="2"/>
        <v>September</v>
      </c>
    </row>
    <row r="23" spans="1:22" x14ac:dyDescent="0.25">
      <c r="A23" t="s">
        <v>122</v>
      </c>
      <c r="B23" s="4">
        <v>46285</v>
      </c>
      <c r="C23" t="s">
        <v>103</v>
      </c>
      <c r="D23" t="s">
        <v>104</v>
      </c>
      <c r="E23" t="s">
        <v>105</v>
      </c>
      <c r="F23" t="s">
        <v>53</v>
      </c>
      <c r="G23" t="s">
        <v>54</v>
      </c>
      <c r="H23" t="s">
        <v>47</v>
      </c>
      <c r="I23">
        <v>1</v>
      </c>
      <c r="J23">
        <v>850</v>
      </c>
      <c r="K23">
        <v>850</v>
      </c>
      <c r="L23" t="s">
        <v>48</v>
      </c>
      <c r="M23" t="s">
        <v>55</v>
      </c>
      <c r="N23" t="s">
        <v>28</v>
      </c>
      <c r="O23" s="4">
        <v>46291</v>
      </c>
      <c r="P23" s="2">
        <v>46294</v>
      </c>
      <c r="Q23" t="s">
        <v>39</v>
      </c>
      <c r="T23" s="10">
        <f t="shared" si="1"/>
        <v>3</v>
      </c>
      <c r="U23" s="13" t="str">
        <f t="shared" si="0"/>
        <v>Delayed</v>
      </c>
      <c r="V23" s="15" t="str">
        <f t="shared" si="2"/>
        <v>September</v>
      </c>
    </row>
    <row r="24" spans="1:22" x14ac:dyDescent="0.25">
      <c r="A24" t="s">
        <v>124</v>
      </c>
      <c r="B24" s="4">
        <v>46224</v>
      </c>
      <c r="C24" t="s">
        <v>125</v>
      </c>
      <c r="D24" t="s">
        <v>126</v>
      </c>
      <c r="E24" t="s">
        <v>44</v>
      </c>
      <c r="F24" t="s">
        <v>59</v>
      </c>
      <c r="G24" t="s">
        <v>60</v>
      </c>
      <c r="H24" t="s">
        <v>47</v>
      </c>
      <c r="I24">
        <v>3</v>
      </c>
      <c r="J24">
        <v>350</v>
      </c>
      <c r="K24">
        <v>1050</v>
      </c>
      <c r="L24" t="s">
        <v>79</v>
      </c>
      <c r="M24" t="s">
        <v>27</v>
      </c>
      <c r="N24" t="s">
        <v>28</v>
      </c>
      <c r="O24" s="4">
        <v>46230</v>
      </c>
      <c r="P24" s="2">
        <v>46231</v>
      </c>
      <c r="Q24" t="s">
        <v>39</v>
      </c>
      <c r="T24" s="10">
        <f t="shared" si="1"/>
        <v>1</v>
      </c>
      <c r="U24" s="13" t="str">
        <f t="shared" si="0"/>
        <v>Slightly Delayed</v>
      </c>
      <c r="V24" s="15" t="str">
        <f t="shared" si="2"/>
        <v>July</v>
      </c>
    </row>
    <row r="25" spans="1:22" x14ac:dyDescent="0.25">
      <c r="A25" t="s">
        <v>127</v>
      </c>
      <c r="B25" s="4">
        <v>46273</v>
      </c>
      <c r="C25" t="s">
        <v>63</v>
      </c>
      <c r="D25" t="s">
        <v>64</v>
      </c>
      <c r="E25" t="s">
        <v>353</v>
      </c>
      <c r="F25" t="s">
        <v>97</v>
      </c>
      <c r="G25" t="s">
        <v>98</v>
      </c>
      <c r="H25" t="s">
        <v>47</v>
      </c>
      <c r="I25">
        <v>2</v>
      </c>
      <c r="J25">
        <v>1450</v>
      </c>
      <c r="K25">
        <v>2900</v>
      </c>
      <c r="L25" t="s">
        <v>74</v>
      </c>
      <c r="M25" t="s">
        <v>55</v>
      </c>
      <c r="N25" t="s">
        <v>67</v>
      </c>
      <c r="O25" s="4">
        <v>46276</v>
      </c>
      <c r="P25" s="2"/>
      <c r="Q25" t="s">
        <v>49</v>
      </c>
      <c r="T25" s="10" t="str">
        <f t="shared" si="1"/>
        <v/>
      </c>
      <c r="U25" s="13" t="str">
        <f t="shared" si="0"/>
        <v>Not Delivered</v>
      </c>
      <c r="V25" s="15" t="str">
        <f t="shared" si="2"/>
        <v>September</v>
      </c>
    </row>
    <row r="26" spans="1:22" x14ac:dyDescent="0.25">
      <c r="A26" t="s">
        <v>128</v>
      </c>
      <c r="B26" s="4">
        <v>46243</v>
      </c>
      <c r="C26" t="s">
        <v>129</v>
      </c>
      <c r="D26" t="s">
        <v>130</v>
      </c>
      <c r="E26" t="s">
        <v>22</v>
      </c>
      <c r="F26" t="s">
        <v>59</v>
      </c>
      <c r="G26" t="s">
        <v>60</v>
      </c>
      <c r="H26" t="s">
        <v>47</v>
      </c>
      <c r="I26">
        <v>1</v>
      </c>
      <c r="J26">
        <v>350</v>
      </c>
      <c r="K26">
        <v>350</v>
      </c>
      <c r="L26" t="s">
        <v>26</v>
      </c>
      <c r="M26" t="s">
        <v>37</v>
      </c>
      <c r="N26" t="s">
        <v>38</v>
      </c>
      <c r="O26" s="4">
        <v>46248</v>
      </c>
      <c r="P26" s="2"/>
      <c r="Q26" t="s">
        <v>49</v>
      </c>
      <c r="S26" t="s">
        <v>131</v>
      </c>
      <c r="T26" s="10" t="str">
        <f t="shared" si="1"/>
        <v/>
      </c>
      <c r="U26" s="13" t="str">
        <f t="shared" si="0"/>
        <v>Not Delivered</v>
      </c>
      <c r="V26" s="15" t="str">
        <f t="shared" si="2"/>
        <v>August</v>
      </c>
    </row>
    <row r="27" spans="1:22" x14ac:dyDescent="0.25">
      <c r="A27" t="s">
        <v>132</v>
      </c>
      <c r="B27" s="4">
        <v>46283</v>
      </c>
      <c r="C27" t="s">
        <v>63</v>
      </c>
      <c r="D27" t="s">
        <v>64</v>
      </c>
      <c r="E27" t="s">
        <v>353</v>
      </c>
      <c r="F27" t="s">
        <v>133</v>
      </c>
      <c r="G27" t="s">
        <v>134</v>
      </c>
      <c r="H27" t="s">
        <v>113</v>
      </c>
      <c r="I27">
        <v>4</v>
      </c>
      <c r="J27">
        <v>2200</v>
      </c>
      <c r="K27">
        <v>8800</v>
      </c>
      <c r="L27" t="s">
        <v>61</v>
      </c>
      <c r="M27" t="s">
        <v>55</v>
      </c>
      <c r="N27" t="s">
        <v>100</v>
      </c>
      <c r="O27" s="4">
        <v>46287</v>
      </c>
      <c r="P27" s="2"/>
      <c r="Q27" t="s">
        <v>49</v>
      </c>
      <c r="T27" s="10" t="str">
        <f t="shared" si="1"/>
        <v/>
      </c>
      <c r="U27" s="13" t="str">
        <f t="shared" si="0"/>
        <v>Not Delivered</v>
      </c>
      <c r="V27" s="15" t="str">
        <f t="shared" si="2"/>
        <v>September</v>
      </c>
    </row>
    <row r="28" spans="1:22" x14ac:dyDescent="0.25">
      <c r="A28" t="s">
        <v>135</v>
      </c>
      <c r="B28" s="4">
        <v>46246</v>
      </c>
      <c r="C28" t="s">
        <v>129</v>
      </c>
      <c r="D28" t="s">
        <v>130</v>
      </c>
      <c r="E28" t="s">
        <v>22</v>
      </c>
      <c r="F28" t="s">
        <v>136</v>
      </c>
      <c r="G28" t="s">
        <v>137</v>
      </c>
      <c r="H28" t="s">
        <v>47</v>
      </c>
      <c r="I28">
        <v>2</v>
      </c>
      <c r="J28">
        <v>650</v>
      </c>
      <c r="K28">
        <v>1300</v>
      </c>
      <c r="L28" t="s">
        <v>61</v>
      </c>
      <c r="M28" t="s">
        <v>27</v>
      </c>
      <c r="N28" t="s">
        <v>28</v>
      </c>
      <c r="O28" s="4">
        <v>46252</v>
      </c>
      <c r="P28" s="2">
        <v>46255</v>
      </c>
      <c r="Q28" t="s">
        <v>101</v>
      </c>
      <c r="T28" s="10">
        <f t="shared" si="1"/>
        <v>3</v>
      </c>
      <c r="U28" s="13" t="str">
        <f t="shared" si="0"/>
        <v>Delayed</v>
      </c>
      <c r="V28" s="15" t="str">
        <f t="shared" si="2"/>
        <v>August</v>
      </c>
    </row>
    <row r="29" spans="1:22" x14ac:dyDescent="0.25">
      <c r="A29" t="s">
        <v>138</v>
      </c>
      <c r="B29" s="4">
        <v>46208</v>
      </c>
      <c r="C29" t="s">
        <v>139</v>
      </c>
      <c r="D29" t="s">
        <v>140</v>
      </c>
      <c r="E29" t="s">
        <v>96</v>
      </c>
      <c r="F29" t="s">
        <v>141</v>
      </c>
      <c r="G29" t="s">
        <v>142</v>
      </c>
      <c r="H29" t="s">
        <v>47</v>
      </c>
      <c r="I29">
        <v>4</v>
      </c>
      <c r="J29">
        <v>1800</v>
      </c>
      <c r="K29">
        <v>7200</v>
      </c>
      <c r="L29" t="s">
        <v>79</v>
      </c>
      <c r="M29" t="s">
        <v>55</v>
      </c>
      <c r="N29" t="s">
        <v>28</v>
      </c>
      <c r="O29" s="4">
        <v>46214</v>
      </c>
      <c r="P29" s="2">
        <v>46214</v>
      </c>
      <c r="Q29" t="s">
        <v>101</v>
      </c>
      <c r="T29" s="10">
        <f t="shared" si="1"/>
        <v>0</v>
      </c>
      <c r="U29" s="13" t="str">
        <f t="shared" si="0"/>
        <v>On Time</v>
      </c>
      <c r="V29" s="15" t="str">
        <f t="shared" si="2"/>
        <v>July</v>
      </c>
    </row>
    <row r="30" spans="1:22" x14ac:dyDescent="0.25">
      <c r="A30" t="s">
        <v>143</v>
      </c>
      <c r="B30" s="4">
        <v>46207</v>
      </c>
      <c r="C30" t="s">
        <v>83</v>
      </c>
      <c r="D30" t="s">
        <v>84</v>
      </c>
      <c r="E30" t="s">
        <v>71</v>
      </c>
      <c r="F30" t="s">
        <v>45</v>
      </c>
      <c r="G30" t="s">
        <v>46</v>
      </c>
      <c r="H30" t="s">
        <v>47</v>
      </c>
      <c r="I30">
        <v>2</v>
      </c>
      <c r="J30">
        <v>1100</v>
      </c>
      <c r="K30">
        <v>2200</v>
      </c>
      <c r="L30" t="s">
        <v>26</v>
      </c>
      <c r="M30" t="s">
        <v>55</v>
      </c>
      <c r="N30" t="s">
        <v>28</v>
      </c>
      <c r="O30" s="4">
        <v>46211</v>
      </c>
      <c r="P30" s="2">
        <v>46212</v>
      </c>
      <c r="Q30" t="s">
        <v>39</v>
      </c>
      <c r="T30" s="10">
        <f t="shared" si="1"/>
        <v>1</v>
      </c>
      <c r="U30" s="13" t="str">
        <f t="shared" si="0"/>
        <v>Slightly Delayed</v>
      </c>
      <c r="V30" s="15" t="str">
        <f t="shared" si="2"/>
        <v>July</v>
      </c>
    </row>
    <row r="31" spans="1:22" x14ac:dyDescent="0.25">
      <c r="A31" t="s">
        <v>144</v>
      </c>
      <c r="B31" s="4">
        <v>46290</v>
      </c>
      <c r="C31" t="s">
        <v>103</v>
      </c>
      <c r="D31" t="s">
        <v>104</v>
      </c>
      <c r="E31" t="s">
        <v>105</v>
      </c>
      <c r="F31" t="s">
        <v>133</v>
      </c>
      <c r="G31" t="s">
        <v>134</v>
      </c>
      <c r="H31" t="s">
        <v>113</v>
      </c>
      <c r="I31">
        <v>4</v>
      </c>
      <c r="J31">
        <v>2200</v>
      </c>
      <c r="K31">
        <v>8800</v>
      </c>
      <c r="L31" t="s">
        <v>48</v>
      </c>
      <c r="M31" t="s">
        <v>55</v>
      </c>
      <c r="N31" t="s">
        <v>56</v>
      </c>
      <c r="O31" s="4">
        <v>46297</v>
      </c>
      <c r="P31" s="2">
        <v>46297</v>
      </c>
      <c r="Q31" t="s">
        <v>39</v>
      </c>
      <c r="R31" t="s">
        <v>145</v>
      </c>
      <c r="T31" s="10">
        <f t="shared" si="1"/>
        <v>0</v>
      </c>
      <c r="U31" s="13" t="str">
        <f t="shared" si="0"/>
        <v>On Time</v>
      </c>
      <c r="V31" s="15" t="str">
        <f t="shared" si="2"/>
        <v>September</v>
      </c>
    </row>
    <row r="32" spans="1:22" x14ac:dyDescent="0.25">
      <c r="A32" t="s">
        <v>146</v>
      </c>
      <c r="B32" s="4">
        <v>46208</v>
      </c>
      <c r="C32" t="s">
        <v>139</v>
      </c>
      <c r="D32" t="s">
        <v>140</v>
      </c>
      <c r="E32" t="s">
        <v>96</v>
      </c>
      <c r="F32" t="s">
        <v>147</v>
      </c>
      <c r="G32" t="s">
        <v>148</v>
      </c>
      <c r="H32" t="s">
        <v>25</v>
      </c>
      <c r="I32">
        <v>3</v>
      </c>
      <c r="J32">
        <v>450</v>
      </c>
      <c r="K32">
        <v>1350</v>
      </c>
      <c r="L32" t="s">
        <v>26</v>
      </c>
      <c r="M32" t="s">
        <v>55</v>
      </c>
      <c r="N32" t="s">
        <v>28</v>
      </c>
      <c r="O32" s="4">
        <v>46211</v>
      </c>
      <c r="P32" s="2">
        <v>46212</v>
      </c>
      <c r="Q32" t="s">
        <v>101</v>
      </c>
      <c r="T32" s="10">
        <f t="shared" si="1"/>
        <v>1</v>
      </c>
      <c r="U32" s="13" t="str">
        <f t="shared" si="0"/>
        <v>Slightly Delayed</v>
      </c>
      <c r="V32" s="15" t="str">
        <f t="shared" si="2"/>
        <v>July</v>
      </c>
    </row>
    <row r="33" spans="1:22" x14ac:dyDescent="0.25">
      <c r="A33" t="s">
        <v>149</v>
      </c>
      <c r="B33" s="4">
        <v>46253</v>
      </c>
      <c r="C33" t="s">
        <v>129</v>
      </c>
      <c r="D33" t="s">
        <v>130</v>
      </c>
      <c r="E33" t="s">
        <v>22</v>
      </c>
      <c r="F33" t="s">
        <v>150</v>
      </c>
      <c r="G33" t="s">
        <v>151</v>
      </c>
      <c r="H33" t="s">
        <v>25</v>
      </c>
      <c r="I33">
        <v>1</v>
      </c>
      <c r="J33">
        <v>550</v>
      </c>
      <c r="K33">
        <v>550</v>
      </c>
      <c r="L33" t="s">
        <v>26</v>
      </c>
      <c r="M33" t="s">
        <v>55</v>
      </c>
      <c r="N33" t="s">
        <v>67</v>
      </c>
      <c r="O33" s="4">
        <v>46260</v>
      </c>
      <c r="P33" s="2"/>
      <c r="Q33" t="s">
        <v>39</v>
      </c>
      <c r="T33" s="10" t="str">
        <f t="shared" si="1"/>
        <v/>
      </c>
      <c r="U33" s="13" t="str">
        <f t="shared" si="0"/>
        <v>Not Delivered</v>
      </c>
      <c r="V33" s="15" t="str">
        <f t="shared" si="2"/>
        <v>August</v>
      </c>
    </row>
    <row r="34" spans="1:22" x14ac:dyDescent="0.25">
      <c r="A34" t="s">
        <v>152</v>
      </c>
      <c r="B34" s="4">
        <v>46250</v>
      </c>
      <c r="C34" t="s">
        <v>129</v>
      </c>
      <c r="D34" t="s">
        <v>130</v>
      </c>
      <c r="E34" t="s">
        <v>22</v>
      </c>
      <c r="F34" t="s">
        <v>136</v>
      </c>
      <c r="G34" t="s">
        <v>137</v>
      </c>
      <c r="H34" t="s">
        <v>47</v>
      </c>
      <c r="I34">
        <v>2</v>
      </c>
      <c r="J34">
        <v>650</v>
      </c>
      <c r="K34">
        <v>1300</v>
      </c>
      <c r="L34" t="s">
        <v>26</v>
      </c>
      <c r="M34" t="s">
        <v>27</v>
      </c>
      <c r="N34" t="s">
        <v>28</v>
      </c>
      <c r="O34" s="4">
        <v>46256</v>
      </c>
      <c r="P34" s="2">
        <v>46255</v>
      </c>
      <c r="Q34" t="s">
        <v>101</v>
      </c>
      <c r="T34" s="10">
        <f t="shared" si="1"/>
        <v>-1</v>
      </c>
      <c r="U34" s="13" t="str">
        <f t="shared" ref="U34:U65" si="3">IF(T34="","Not Delivered",IF(T34&lt;=0,"On Time",IF(T34&lt;=2,"Slightly Delayed","Delayed")))</f>
        <v>On Time</v>
      </c>
      <c r="V34" s="15" t="str">
        <f t="shared" si="2"/>
        <v>August</v>
      </c>
    </row>
    <row r="35" spans="1:22" x14ac:dyDescent="0.25">
      <c r="A35" t="s">
        <v>153</v>
      </c>
      <c r="B35" s="4">
        <v>46289</v>
      </c>
      <c r="C35" t="s">
        <v>63</v>
      </c>
      <c r="D35" t="s">
        <v>64</v>
      </c>
      <c r="E35" t="s">
        <v>353</v>
      </c>
      <c r="F35" t="s">
        <v>119</v>
      </c>
      <c r="G35" t="s">
        <v>120</v>
      </c>
      <c r="H35" t="s">
        <v>113</v>
      </c>
      <c r="I35">
        <v>3</v>
      </c>
      <c r="J35">
        <v>1400</v>
      </c>
      <c r="K35">
        <v>4200</v>
      </c>
      <c r="L35" t="s">
        <v>26</v>
      </c>
      <c r="M35" t="s">
        <v>55</v>
      </c>
      <c r="N35" t="s">
        <v>28</v>
      </c>
      <c r="O35" s="4">
        <v>46295</v>
      </c>
      <c r="P35" s="2">
        <v>46295</v>
      </c>
      <c r="Q35" t="s">
        <v>49</v>
      </c>
      <c r="T35" s="10">
        <f t="shared" si="1"/>
        <v>0</v>
      </c>
      <c r="U35" s="13" t="str">
        <f t="shared" si="3"/>
        <v>On Time</v>
      </c>
      <c r="V35" s="15" t="str">
        <f t="shared" si="2"/>
        <v>September</v>
      </c>
    </row>
    <row r="36" spans="1:22" x14ac:dyDescent="0.25">
      <c r="A36" t="s">
        <v>154</v>
      </c>
      <c r="B36" s="4">
        <v>46290</v>
      </c>
      <c r="C36" t="s">
        <v>20</v>
      </c>
      <c r="D36" t="s">
        <v>21</v>
      </c>
      <c r="E36" t="s">
        <v>22</v>
      </c>
      <c r="F36" t="s">
        <v>65</v>
      </c>
      <c r="G36" t="s">
        <v>66</v>
      </c>
      <c r="H36" t="s">
        <v>36</v>
      </c>
      <c r="I36">
        <v>4</v>
      </c>
      <c r="J36">
        <v>500</v>
      </c>
      <c r="K36">
        <v>2000</v>
      </c>
      <c r="L36" t="s">
        <v>74</v>
      </c>
      <c r="M36" t="s">
        <v>27</v>
      </c>
      <c r="N36" t="s">
        <v>155</v>
      </c>
      <c r="O36" s="4">
        <v>46294</v>
      </c>
      <c r="P36" s="2"/>
      <c r="Q36" t="s">
        <v>101</v>
      </c>
      <c r="T36" s="10" t="str">
        <f t="shared" si="1"/>
        <v/>
      </c>
      <c r="U36" s="13" t="str">
        <f t="shared" si="3"/>
        <v>Not Delivered</v>
      </c>
      <c r="V36" s="15" t="str">
        <f t="shared" si="2"/>
        <v>September</v>
      </c>
    </row>
    <row r="37" spans="1:22" x14ac:dyDescent="0.25">
      <c r="A37" t="s">
        <v>156</v>
      </c>
      <c r="B37" s="4">
        <v>46242</v>
      </c>
      <c r="C37" t="s">
        <v>157</v>
      </c>
      <c r="D37" t="s">
        <v>158</v>
      </c>
      <c r="E37" t="s">
        <v>96</v>
      </c>
      <c r="F37" t="s">
        <v>23</v>
      </c>
      <c r="G37" t="s">
        <v>24</v>
      </c>
      <c r="H37" t="s">
        <v>25</v>
      </c>
      <c r="I37">
        <v>1</v>
      </c>
      <c r="J37">
        <v>120</v>
      </c>
      <c r="K37">
        <v>120</v>
      </c>
      <c r="L37" t="s">
        <v>74</v>
      </c>
      <c r="M37" t="s">
        <v>55</v>
      </c>
      <c r="N37" t="s">
        <v>28</v>
      </c>
      <c r="O37" s="4">
        <v>46247</v>
      </c>
      <c r="P37" s="2">
        <v>46247</v>
      </c>
      <c r="Q37" t="s">
        <v>101</v>
      </c>
      <c r="T37" s="10">
        <f t="shared" si="1"/>
        <v>0</v>
      </c>
      <c r="U37" s="13" t="str">
        <f t="shared" si="3"/>
        <v>On Time</v>
      </c>
      <c r="V37" s="15" t="str">
        <f t="shared" si="2"/>
        <v>August</v>
      </c>
    </row>
    <row r="38" spans="1:22" x14ac:dyDescent="0.25">
      <c r="A38" t="s">
        <v>159</v>
      </c>
      <c r="B38" s="4">
        <v>46290</v>
      </c>
      <c r="C38" t="s">
        <v>109</v>
      </c>
      <c r="D38" t="s">
        <v>110</v>
      </c>
      <c r="E38" t="s">
        <v>105</v>
      </c>
      <c r="F38" t="s">
        <v>34</v>
      </c>
      <c r="G38" t="s">
        <v>35</v>
      </c>
      <c r="H38" t="s">
        <v>36</v>
      </c>
      <c r="I38">
        <v>4</v>
      </c>
      <c r="J38">
        <v>3200</v>
      </c>
      <c r="K38">
        <v>12800</v>
      </c>
      <c r="L38" t="s">
        <v>61</v>
      </c>
      <c r="M38" t="s">
        <v>55</v>
      </c>
      <c r="N38" t="s">
        <v>28</v>
      </c>
      <c r="O38" s="4">
        <v>46294</v>
      </c>
      <c r="P38" s="2">
        <v>46295</v>
      </c>
      <c r="Q38" t="s">
        <v>39</v>
      </c>
      <c r="T38" s="10">
        <f t="shared" si="1"/>
        <v>1</v>
      </c>
      <c r="U38" s="13" t="str">
        <f t="shared" si="3"/>
        <v>Slightly Delayed</v>
      </c>
      <c r="V38" s="15" t="str">
        <f t="shared" si="2"/>
        <v>September</v>
      </c>
    </row>
    <row r="39" spans="1:22" x14ac:dyDescent="0.25">
      <c r="A39" t="s">
        <v>160</v>
      </c>
      <c r="B39" s="4">
        <v>46215</v>
      </c>
      <c r="C39" t="s">
        <v>83</v>
      </c>
      <c r="D39" t="s">
        <v>84</v>
      </c>
      <c r="E39" t="s">
        <v>71</v>
      </c>
      <c r="F39" t="s">
        <v>91</v>
      </c>
      <c r="G39" t="s">
        <v>92</v>
      </c>
      <c r="H39" t="s">
        <v>25</v>
      </c>
      <c r="I39">
        <v>3</v>
      </c>
      <c r="J39">
        <v>180</v>
      </c>
      <c r="K39">
        <v>540</v>
      </c>
      <c r="L39" t="s">
        <v>26</v>
      </c>
      <c r="M39" t="s">
        <v>55</v>
      </c>
      <c r="N39" t="s">
        <v>56</v>
      </c>
      <c r="O39" s="4">
        <v>46219</v>
      </c>
      <c r="P39" s="2">
        <v>46221</v>
      </c>
      <c r="Q39" t="s">
        <v>49</v>
      </c>
      <c r="R39" t="s">
        <v>57</v>
      </c>
      <c r="T39" s="10">
        <f t="shared" si="1"/>
        <v>2</v>
      </c>
      <c r="U39" s="13" t="str">
        <f t="shared" si="3"/>
        <v>Slightly Delayed</v>
      </c>
      <c r="V39" s="15" t="str">
        <f t="shared" si="2"/>
        <v>July</v>
      </c>
    </row>
    <row r="40" spans="1:22" x14ac:dyDescent="0.25">
      <c r="A40" t="s">
        <v>161</v>
      </c>
      <c r="B40" s="4">
        <v>46235</v>
      </c>
      <c r="C40" t="s">
        <v>76</v>
      </c>
      <c r="D40" t="s">
        <v>77</v>
      </c>
      <c r="E40" t="s">
        <v>88</v>
      </c>
      <c r="F40" t="s">
        <v>136</v>
      </c>
      <c r="G40" t="s">
        <v>137</v>
      </c>
      <c r="H40" t="s">
        <v>47</v>
      </c>
      <c r="I40">
        <v>1</v>
      </c>
      <c r="J40">
        <v>650</v>
      </c>
      <c r="K40">
        <v>650</v>
      </c>
      <c r="L40" t="s">
        <v>79</v>
      </c>
      <c r="M40" t="s">
        <v>55</v>
      </c>
      <c r="N40" t="s">
        <v>28</v>
      </c>
      <c r="O40" s="4">
        <v>46241</v>
      </c>
      <c r="P40" s="2">
        <v>46242</v>
      </c>
      <c r="Q40" t="s">
        <v>29</v>
      </c>
      <c r="T40" s="10">
        <f t="shared" si="1"/>
        <v>1</v>
      </c>
      <c r="U40" s="13" t="str">
        <f t="shared" si="3"/>
        <v>Slightly Delayed</v>
      </c>
      <c r="V40" s="15" t="str">
        <f t="shared" si="2"/>
        <v>August</v>
      </c>
    </row>
    <row r="41" spans="1:22" x14ac:dyDescent="0.25">
      <c r="A41" t="s">
        <v>162</v>
      </c>
      <c r="B41" s="4">
        <v>46267</v>
      </c>
      <c r="C41" t="s">
        <v>86</v>
      </c>
      <c r="D41" t="s">
        <v>87</v>
      </c>
      <c r="E41" t="s">
        <v>88</v>
      </c>
      <c r="F41" t="s">
        <v>106</v>
      </c>
      <c r="G41" t="s">
        <v>107</v>
      </c>
      <c r="H41" t="s">
        <v>47</v>
      </c>
      <c r="I41">
        <v>4</v>
      </c>
      <c r="J41">
        <v>2500</v>
      </c>
      <c r="K41">
        <v>10000</v>
      </c>
      <c r="L41" t="s">
        <v>61</v>
      </c>
      <c r="M41" t="s">
        <v>55</v>
      </c>
      <c r="N41" t="s">
        <v>89</v>
      </c>
      <c r="O41" s="4">
        <v>46273</v>
      </c>
      <c r="P41" s="2"/>
      <c r="Q41" t="s">
        <v>39</v>
      </c>
      <c r="T41" s="10" t="str">
        <f t="shared" si="1"/>
        <v/>
      </c>
      <c r="U41" s="13" t="str">
        <f t="shared" si="3"/>
        <v>Not Delivered</v>
      </c>
      <c r="V41" s="15" t="str">
        <f t="shared" si="2"/>
        <v>September</v>
      </c>
    </row>
    <row r="42" spans="1:22" x14ac:dyDescent="0.25">
      <c r="A42" t="s">
        <v>163</v>
      </c>
      <c r="B42" s="4">
        <v>46226</v>
      </c>
      <c r="C42" t="s">
        <v>63</v>
      </c>
      <c r="D42" t="s">
        <v>64</v>
      </c>
      <c r="E42" t="s">
        <v>353</v>
      </c>
      <c r="F42" t="s">
        <v>65</v>
      </c>
      <c r="G42" t="s">
        <v>66</v>
      </c>
      <c r="H42" t="s">
        <v>36</v>
      </c>
      <c r="I42">
        <v>2</v>
      </c>
      <c r="J42">
        <v>500</v>
      </c>
      <c r="K42">
        <v>1000</v>
      </c>
      <c r="L42" t="s">
        <v>48</v>
      </c>
      <c r="M42" t="s">
        <v>55</v>
      </c>
      <c r="N42" t="s">
        <v>89</v>
      </c>
      <c r="O42" s="4">
        <v>46233</v>
      </c>
      <c r="P42" s="2"/>
      <c r="Q42" t="s">
        <v>49</v>
      </c>
      <c r="T42" s="10" t="str">
        <f t="shared" si="1"/>
        <v/>
      </c>
      <c r="U42" s="13" t="str">
        <f t="shared" si="3"/>
        <v>Not Delivered</v>
      </c>
      <c r="V42" s="15" t="str">
        <f t="shared" si="2"/>
        <v>July</v>
      </c>
    </row>
    <row r="43" spans="1:22" x14ac:dyDescent="0.25">
      <c r="A43" t="s">
        <v>164</v>
      </c>
      <c r="B43" s="4">
        <v>46263</v>
      </c>
      <c r="C43" t="s">
        <v>63</v>
      </c>
      <c r="D43" t="s">
        <v>64</v>
      </c>
      <c r="E43" t="s">
        <v>353</v>
      </c>
      <c r="F43" t="s">
        <v>34</v>
      </c>
      <c r="G43" t="s">
        <v>35</v>
      </c>
      <c r="H43" t="s">
        <v>36</v>
      </c>
      <c r="I43">
        <v>2</v>
      </c>
      <c r="J43">
        <v>3200</v>
      </c>
      <c r="K43">
        <v>6400</v>
      </c>
      <c r="L43" t="s">
        <v>26</v>
      </c>
      <c r="M43" t="s">
        <v>27</v>
      </c>
      <c r="N43" t="s">
        <v>28</v>
      </c>
      <c r="O43" s="4">
        <v>46270</v>
      </c>
      <c r="P43" s="2">
        <v>46271</v>
      </c>
      <c r="Q43" t="s">
        <v>29</v>
      </c>
      <c r="T43" s="10">
        <f t="shared" si="1"/>
        <v>1</v>
      </c>
      <c r="U43" s="13" t="str">
        <f t="shared" si="3"/>
        <v>Slightly Delayed</v>
      </c>
      <c r="V43" s="15" t="str">
        <f t="shared" si="2"/>
        <v>August</v>
      </c>
    </row>
    <row r="44" spans="1:22" x14ac:dyDescent="0.25">
      <c r="A44" t="s">
        <v>165</v>
      </c>
      <c r="B44" s="4">
        <v>46274</v>
      </c>
      <c r="C44" t="s">
        <v>94</v>
      </c>
      <c r="D44" t="s">
        <v>95</v>
      </c>
      <c r="E44" t="s">
        <v>96</v>
      </c>
      <c r="F44" t="s">
        <v>91</v>
      </c>
      <c r="G44" t="s">
        <v>92</v>
      </c>
      <c r="H44" t="s">
        <v>25</v>
      </c>
      <c r="I44">
        <v>4</v>
      </c>
      <c r="J44">
        <v>180</v>
      </c>
      <c r="K44">
        <v>720</v>
      </c>
      <c r="L44" t="s">
        <v>79</v>
      </c>
      <c r="M44" t="s">
        <v>27</v>
      </c>
      <c r="N44" t="s">
        <v>28</v>
      </c>
      <c r="O44" s="4">
        <v>46280</v>
      </c>
      <c r="P44" s="2">
        <v>46280</v>
      </c>
      <c r="Q44" t="s">
        <v>29</v>
      </c>
      <c r="T44" s="10">
        <f t="shared" si="1"/>
        <v>0</v>
      </c>
      <c r="U44" s="13" t="str">
        <f t="shared" si="3"/>
        <v>On Time</v>
      </c>
      <c r="V44" s="15" t="str">
        <f t="shared" si="2"/>
        <v>September</v>
      </c>
    </row>
    <row r="45" spans="1:22" x14ac:dyDescent="0.25">
      <c r="A45" t="s">
        <v>166</v>
      </c>
      <c r="B45" s="4">
        <v>46270</v>
      </c>
      <c r="C45" t="s">
        <v>103</v>
      </c>
      <c r="D45" t="s">
        <v>104</v>
      </c>
      <c r="E45" t="s">
        <v>105</v>
      </c>
      <c r="F45" t="s">
        <v>45</v>
      </c>
      <c r="G45" t="s">
        <v>46</v>
      </c>
      <c r="H45" t="s">
        <v>47</v>
      </c>
      <c r="I45">
        <v>3</v>
      </c>
      <c r="J45">
        <v>1100</v>
      </c>
      <c r="K45">
        <v>3300</v>
      </c>
      <c r="L45" t="s">
        <v>61</v>
      </c>
      <c r="M45" t="s">
        <v>27</v>
      </c>
      <c r="N45" t="s">
        <v>155</v>
      </c>
      <c r="O45" s="4">
        <v>46276</v>
      </c>
      <c r="P45" s="2"/>
      <c r="Q45" t="s">
        <v>101</v>
      </c>
      <c r="T45" s="10" t="str">
        <f t="shared" si="1"/>
        <v/>
      </c>
      <c r="U45" s="13" t="str">
        <f t="shared" si="3"/>
        <v>Not Delivered</v>
      </c>
      <c r="V45" s="15" t="str">
        <f t="shared" si="2"/>
        <v>September</v>
      </c>
    </row>
    <row r="46" spans="1:22" x14ac:dyDescent="0.25">
      <c r="A46" t="s">
        <v>167</v>
      </c>
      <c r="B46" s="4">
        <v>46234</v>
      </c>
      <c r="C46" t="s">
        <v>109</v>
      </c>
      <c r="D46" t="s">
        <v>110</v>
      </c>
      <c r="E46" t="s">
        <v>105</v>
      </c>
      <c r="F46" t="s">
        <v>97</v>
      </c>
      <c r="G46" t="s">
        <v>98</v>
      </c>
      <c r="H46" t="s">
        <v>47</v>
      </c>
      <c r="I46">
        <v>3</v>
      </c>
      <c r="J46">
        <v>1450</v>
      </c>
      <c r="K46">
        <v>4350</v>
      </c>
      <c r="L46" t="s">
        <v>48</v>
      </c>
      <c r="M46" t="s">
        <v>55</v>
      </c>
      <c r="N46" t="s">
        <v>100</v>
      </c>
      <c r="O46" s="4">
        <v>46239</v>
      </c>
      <c r="P46" s="2"/>
      <c r="Q46" t="s">
        <v>39</v>
      </c>
      <c r="T46" s="10" t="str">
        <f t="shared" si="1"/>
        <v/>
      </c>
      <c r="U46" s="13" t="str">
        <f t="shared" si="3"/>
        <v>Not Delivered</v>
      </c>
      <c r="V46" s="15" t="str">
        <f t="shared" si="2"/>
        <v>July</v>
      </c>
    </row>
    <row r="47" spans="1:22" x14ac:dyDescent="0.25">
      <c r="A47" t="s">
        <v>169</v>
      </c>
      <c r="B47" s="4">
        <v>46253</v>
      </c>
      <c r="C47" t="s">
        <v>76</v>
      </c>
      <c r="D47" t="s">
        <v>77</v>
      </c>
      <c r="E47" t="s">
        <v>88</v>
      </c>
      <c r="F47" t="s">
        <v>59</v>
      </c>
      <c r="G47" t="s">
        <v>60</v>
      </c>
      <c r="H47" t="s">
        <v>47</v>
      </c>
      <c r="I47">
        <v>2</v>
      </c>
      <c r="J47">
        <v>350</v>
      </c>
      <c r="K47">
        <v>700</v>
      </c>
      <c r="L47" t="s">
        <v>48</v>
      </c>
      <c r="M47" t="s">
        <v>55</v>
      </c>
      <c r="N47" t="s">
        <v>28</v>
      </c>
      <c r="O47" s="4">
        <v>46257</v>
      </c>
      <c r="P47" s="2">
        <v>46259</v>
      </c>
      <c r="Q47" t="s">
        <v>29</v>
      </c>
      <c r="T47" s="10">
        <f t="shared" si="1"/>
        <v>2</v>
      </c>
      <c r="U47" s="13" t="str">
        <f t="shared" si="3"/>
        <v>Slightly Delayed</v>
      </c>
      <c r="V47" s="15" t="str">
        <f t="shared" si="2"/>
        <v>August</v>
      </c>
    </row>
    <row r="48" spans="1:22" x14ac:dyDescent="0.25">
      <c r="A48" t="s">
        <v>170</v>
      </c>
      <c r="B48" s="4">
        <v>46257</v>
      </c>
      <c r="C48" t="s">
        <v>129</v>
      </c>
      <c r="D48" t="s">
        <v>130</v>
      </c>
      <c r="E48" t="s">
        <v>22</v>
      </c>
      <c r="F48" t="s">
        <v>111</v>
      </c>
      <c r="G48" t="s">
        <v>112</v>
      </c>
      <c r="H48" t="s">
        <v>113</v>
      </c>
      <c r="I48">
        <v>4</v>
      </c>
      <c r="J48">
        <v>1250</v>
      </c>
      <c r="K48">
        <v>5000</v>
      </c>
      <c r="L48" t="s">
        <v>79</v>
      </c>
      <c r="M48" t="s">
        <v>55</v>
      </c>
      <c r="N48" t="s">
        <v>67</v>
      </c>
      <c r="O48" s="4">
        <v>46260</v>
      </c>
      <c r="P48" s="2"/>
      <c r="Q48" t="s">
        <v>29</v>
      </c>
      <c r="T48" s="10" t="str">
        <f t="shared" si="1"/>
        <v/>
      </c>
      <c r="U48" s="13" t="str">
        <f t="shared" si="3"/>
        <v>Not Delivered</v>
      </c>
      <c r="V48" s="15" t="str">
        <f t="shared" si="2"/>
        <v>August</v>
      </c>
    </row>
    <row r="49" spans="1:22" x14ac:dyDescent="0.25">
      <c r="A49" t="s">
        <v>171</v>
      </c>
      <c r="B49" s="4">
        <v>46265</v>
      </c>
      <c r="C49" t="s">
        <v>86</v>
      </c>
      <c r="D49" t="s">
        <v>87</v>
      </c>
      <c r="E49" t="s">
        <v>88</v>
      </c>
      <c r="F49" t="s">
        <v>136</v>
      </c>
      <c r="G49" t="s">
        <v>137</v>
      </c>
      <c r="H49" t="s">
        <v>47</v>
      </c>
      <c r="I49">
        <v>4</v>
      </c>
      <c r="J49">
        <v>650</v>
      </c>
      <c r="K49">
        <v>2600</v>
      </c>
      <c r="L49" t="s">
        <v>79</v>
      </c>
      <c r="M49" t="s">
        <v>55</v>
      </c>
      <c r="N49" t="s">
        <v>28</v>
      </c>
      <c r="O49" s="4">
        <v>46268</v>
      </c>
      <c r="P49" s="2">
        <v>46268</v>
      </c>
      <c r="Q49" t="s">
        <v>29</v>
      </c>
      <c r="T49" s="10">
        <f t="shared" si="1"/>
        <v>0</v>
      </c>
      <c r="U49" s="13" t="str">
        <f t="shared" si="3"/>
        <v>On Time</v>
      </c>
      <c r="V49" s="15" t="str">
        <f t="shared" si="2"/>
        <v>August</v>
      </c>
    </row>
    <row r="50" spans="1:22" x14ac:dyDescent="0.25">
      <c r="A50" t="s">
        <v>172</v>
      </c>
      <c r="B50" s="4">
        <v>46266</v>
      </c>
      <c r="C50" t="s">
        <v>42</v>
      </c>
      <c r="D50" t="s">
        <v>43</v>
      </c>
      <c r="E50" t="s">
        <v>44</v>
      </c>
      <c r="F50" t="s">
        <v>23</v>
      </c>
      <c r="G50" t="s">
        <v>24</v>
      </c>
      <c r="H50" t="s">
        <v>25</v>
      </c>
      <c r="I50">
        <v>2</v>
      </c>
      <c r="J50">
        <v>120</v>
      </c>
      <c r="K50">
        <v>240</v>
      </c>
      <c r="L50" t="s">
        <v>79</v>
      </c>
      <c r="M50" t="s">
        <v>55</v>
      </c>
      <c r="N50" t="s">
        <v>28</v>
      </c>
      <c r="O50" s="4">
        <v>46270</v>
      </c>
      <c r="P50" s="2">
        <v>46270</v>
      </c>
      <c r="Q50" t="s">
        <v>39</v>
      </c>
      <c r="T50" s="10">
        <f t="shared" si="1"/>
        <v>0</v>
      </c>
      <c r="U50" s="13" t="str">
        <f t="shared" si="3"/>
        <v>On Time</v>
      </c>
      <c r="V50" s="15" t="str">
        <f t="shared" si="2"/>
        <v>September</v>
      </c>
    </row>
    <row r="51" spans="1:22" x14ac:dyDescent="0.25">
      <c r="A51" t="s">
        <v>173</v>
      </c>
      <c r="B51" s="4">
        <v>46225</v>
      </c>
      <c r="C51" t="s">
        <v>157</v>
      </c>
      <c r="D51" t="s">
        <v>158</v>
      </c>
      <c r="E51" t="s">
        <v>96</v>
      </c>
      <c r="F51" t="s">
        <v>111</v>
      </c>
      <c r="G51" t="s">
        <v>112</v>
      </c>
      <c r="H51" t="s">
        <v>113</v>
      </c>
      <c r="I51">
        <v>4</v>
      </c>
      <c r="J51">
        <v>1250</v>
      </c>
      <c r="K51">
        <v>5000</v>
      </c>
      <c r="L51" t="s">
        <v>74</v>
      </c>
      <c r="M51" t="s">
        <v>27</v>
      </c>
      <c r="N51" t="s">
        <v>28</v>
      </c>
      <c r="O51" s="4">
        <v>46231</v>
      </c>
      <c r="P51" s="2">
        <v>46231</v>
      </c>
      <c r="Q51" t="s">
        <v>39</v>
      </c>
      <c r="T51" s="10">
        <f t="shared" si="1"/>
        <v>0</v>
      </c>
      <c r="U51" s="13" t="str">
        <f t="shared" si="3"/>
        <v>On Time</v>
      </c>
      <c r="V51" s="15" t="str">
        <f t="shared" si="2"/>
        <v>July</v>
      </c>
    </row>
    <row r="52" spans="1:22" x14ac:dyDescent="0.25">
      <c r="A52" t="s">
        <v>174</v>
      </c>
      <c r="B52" s="4">
        <v>46214</v>
      </c>
      <c r="C52" t="s">
        <v>157</v>
      </c>
      <c r="D52" t="s">
        <v>158</v>
      </c>
      <c r="E52" t="s">
        <v>96</v>
      </c>
      <c r="F52" t="s">
        <v>147</v>
      </c>
      <c r="G52" t="s">
        <v>148</v>
      </c>
      <c r="H52" t="s">
        <v>25</v>
      </c>
      <c r="I52">
        <v>1</v>
      </c>
      <c r="J52">
        <v>450</v>
      </c>
      <c r="K52">
        <v>450</v>
      </c>
      <c r="L52" t="s">
        <v>61</v>
      </c>
      <c r="M52" t="s">
        <v>55</v>
      </c>
      <c r="N52" t="s">
        <v>28</v>
      </c>
      <c r="O52" s="4">
        <v>46220</v>
      </c>
      <c r="P52" s="2">
        <v>46220</v>
      </c>
      <c r="Q52" t="s">
        <v>39</v>
      </c>
      <c r="T52" s="10">
        <f t="shared" si="1"/>
        <v>0</v>
      </c>
      <c r="U52" s="13" t="str">
        <f t="shared" si="3"/>
        <v>On Time</v>
      </c>
      <c r="V52" s="15" t="str">
        <f t="shared" si="2"/>
        <v>July</v>
      </c>
    </row>
    <row r="53" spans="1:22" x14ac:dyDescent="0.25">
      <c r="A53" t="s">
        <v>175</v>
      </c>
      <c r="B53" s="4">
        <v>46231</v>
      </c>
      <c r="C53" t="s">
        <v>103</v>
      </c>
      <c r="D53" t="s">
        <v>104</v>
      </c>
      <c r="E53" t="s">
        <v>105</v>
      </c>
      <c r="F53" t="s">
        <v>72</v>
      </c>
      <c r="G53" t="s">
        <v>73</v>
      </c>
      <c r="H53" t="s">
        <v>36</v>
      </c>
      <c r="I53">
        <v>3</v>
      </c>
      <c r="J53">
        <v>950</v>
      </c>
      <c r="K53">
        <v>2850</v>
      </c>
      <c r="L53" t="s">
        <v>79</v>
      </c>
      <c r="M53" t="s">
        <v>55</v>
      </c>
      <c r="N53" t="s">
        <v>28</v>
      </c>
      <c r="O53" s="4">
        <v>46237</v>
      </c>
      <c r="P53" s="2">
        <v>46237</v>
      </c>
      <c r="Q53" t="s">
        <v>101</v>
      </c>
      <c r="T53" s="10">
        <f t="shared" si="1"/>
        <v>0</v>
      </c>
      <c r="U53" s="13" t="str">
        <f t="shared" si="3"/>
        <v>On Time</v>
      </c>
      <c r="V53" s="15" t="str">
        <f t="shared" si="2"/>
        <v>July</v>
      </c>
    </row>
    <row r="54" spans="1:22" x14ac:dyDescent="0.25">
      <c r="A54" t="s">
        <v>176</v>
      </c>
      <c r="B54" s="4">
        <v>46264</v>
      </c>
      <c r="C54" t="s">
        <v>129</v>
      </c>
      <c r="D54" t="s">
        <v>130</v>
      </c>
      <c r="E54" t="s">
        <v>22</v>
      </c>
      <c r="F54" t="s">
        <v>177</v>
      </c>
      <c r="G54" t="s">
        <v>178</v>
      </c>
      <c r="H54" t="s">
        <v>113</v>
      </c>
      <c r="I54">
        <v>1</v>
      </c>
      <c r="J54">
        <v>700</v>
      </c>
      <c r="K54">
        <v>700</v>
      </c>
      <c r="L54" t="s">
        <v>48</v>
      </c>
      <c r="M54" t="s">
        <v>27</v>
      </c>
      <c r="N54" t="s">
        <v>28</v>
      </c>
      <c r="O54" s="4">
        <v>46267</v>
      </c>
      <c r="P54" s="2">
        <v>46269</v>
      </c>
      <c r="Q54" t="s">
        <v>101</v>
      </c>
      <c r="T54" s="10">
        <f t="shared" si="1"/>
        <v>2</v>
      </c>
      <c r="U54" s="13" t="str">
        <f t="shared" si="3"/>
        <v>Slightly Delayed</v>
      </c>
      <c r="V54" s="15" t="str">
        <f t="shared" si="2"/>
        <v>August</v>
      </c>
    </row>
    <row r="55" spans="1:22" x14ac:dyDescent="0.25">
      <c r="A55" t="s">
        <v>179</v>
      </c>
      <c r="B55" s="4">
        <v>46207</v>
      </c>
      <c r="C55" t="s">
        <v>180</v>
      </c>
      <c r="D55" t="s">
        <v>181</v>
      </c>
      <c r="E55" t="s">
        <v>33</v>
      </c>
      <c r="F55" t="s">
        <v>97</v>
      </c>
      <c r="G55" t="s">
        <v>98</v>
      </c>
      <c r="H55" t="s">
        <v>47</v>
      </c>
      <c r="I55">
        <v>1</v>
      </c>
      <c r="J55">
        <v>1450</v>
      </c>
      <c r="K55">
        <v>1450</v>
      </c>
      <c r="L55" t="s">
        <v>48</v>
      </c>
      <c r="M55" t="s">
        <v>55</v>
      </c>
      <c r="N55" t="s">
        <v>155</v>
      </c>
      <c r="O55" s="4">
        <v>46211</v>
      </c>
      <c r="P55" s="2"/>
      <c r="Q55" t="s">
        <v>49</v>
      </c>
      <c r="T55" s="10" t="str">
        <f t="shared" si="1"/>
        <v/>
      </c>
      <c r="U55" s="13" t="str">
        <f t="shared" si="3"/>
        <v>Not Delivered</v>
      </c>
      <c r="V55" s="15" t="str">
        <f t="shared" si="2"/>
        <v>July</v>
      </c>
    </row>
    <row r="56" spans="1:22" x14ac:dyDescent="0.25">
      <c r="A56" t="s">
        <v>182</v>
      </c>
      <c r="B56" s="4">
        <v>46289</v>
      </c>
      <c r="C56" t="s">
        <v>180</v>
      </c>
      <c r="D56" t="s">
        <v>181</v>
      </c>
      <c r="E56" t="s">
        <v>33</v>
      </c>
      <c r="F56" t="s">
        <v>59</v>
      </c>
      <c r="G56" t="s">
        <v>60</v>
      </c>
      <c r="H56" t="s">
        <v>47</v>
      </c>
      <c r="I56">
        <v>4</v>
      </c>
      <c r="J56">
        <v>350</v>
      </c>
      <c r="K56">
        <v>1400</v>
      </c>
      <c r="L56" t="s">
        <v>79</v>
      </c>
      <c r="M56" t="s">
        <v>55</v>
      </c>
      <c r="N56" t="s">
        <v>28</v>
      </c>
      <c r="O56" s="4">
        <v>46292</v>
      </c>
      <c r="P56" s="2">
        <v>46293</v>
      </c>
      <c r="Q56" t="s">
        <v>101</v>
      </c>
      <c r="T56" s="10">
        <f t="shared" si="1"/>
        <v>1</v>
      </c>
      <c r="U56" s="13" t="str">
        <f t="shared" si="3"/>
        <v>Slightly Delayed</v>
      </c>
      <c r="V56" s="15" t="str">
        <f t="shared" si="2"/>
        <v>September</v>
      </c>
    </row>
    <row r="57" spans="1:22" x14ac:dyDescent="0.25">
      <c r="A57" t="s">
        <v>183</v>
      </c>
      <c r="B57" s="4">
        <v>46224</v>
      </c>
      <c r="C57" t="s">
        <v>184</v>
      </c>
      <c r="D57" t="s">
        <v>185</v>
      </c>
      <c r="E57" t="s">
        <v>88</v>
      </c>
      <c r="F57" t="s">
        <v>116</v>
      </c>
      <c r="G57" t="s">
        <v>117</v>
      </c>
      <c r="H57" t="s">
        <v>47</v>
      </c>
      <c r="I57">
        <v>1</v>
      </c>
      <c r="J57">
        <v>1200</v>
      </c>
      <c r="K57">
        <v>1200</v>
      </c>
      <c r="L57" t="s">
        <v>48</v>
      </c>
      <c r="M57" t="s">
        <v>27</v>
      </c>
      <c r="N57" t="s">
        <v>28</v>
      </c>
      <c r="O57" s="4">
        <v>46229</v>
      </c>
      <c r="P57" s="2">
        <v>46228</v>
      </c>
      <c r="Q57" t="s">
        <v>101</v>
      </c>
      <c r="T57" s="10">
        <f t="shared" si="1"/>
        <v>-1</v>
      </c>
      <c r="U57" s="13" t="str">
        <f t="shared" si="3"/>
        <v>On Time</v>
      </c>
      <c r="V57" s="15" t="str">
        <f t="shared" si="2"/>
        <v>July</v>
      </c>
    </row>
    <row r="58" spans="1:22" x14ac:dyDescent="0.25">
      <c r="A58" t="s">
        <v>186</v>
      </c>
      <c r="B58" s="4">
        <v>46295</v>
      </c>
      <c r="C58" t="s">
        <v>86</v>
      </c>
      <c r="D58" t="s">
        <v>87</v>
      </c>
      <c r="E58" t="s">
        <v>88</v>
      </c>
      <c r="F58" t="s">
        <v>72</v>
      </c>
      <c r="G58" t="s">
        <v>73</v>
      </c>
      <c r="H58" t="s">
        <v>36</v>
      </c>
      <c r="I58">
        <v>4</v>
      </c>
      <c r="J58">
        <v>950</v>
      </c>
      <c r="K58">
        <v>3800</v>
      </c>
      <c r="L58" t="s">
        <v>74</v>
      </c>
      <c r="M58" t="s">
        <v>55</v>
      </c>
      <c r="N58" t="s">
        <v>100</v>
      </c>
      <c r="O58" s="4">
        <v>46299</v>
      </c>
      <c r="P58" s="2"/>
      <c r="Q58" t="s">
        <v>49</v>
      </c>
      <c r="T58" s="10" t="str">
        <f t="shared" si="1"/>
        <v/>
      </c>
      <c r="U58" s="13" t="str">
        <f t="shared" si="3"/>
        <v>Not Delivered</v>
      </c>
      <c r="V58" s="15" t="str">
        <f t="shared" si="2"/>
        <v>September</v>
      </c>
    </row>
    <row r="59" spans="1:22" x14ac:dyDescent="0.25">
      <c r="A59" t="s">
        <v>187</v>
      </c>
      <c r="B59" s="4">
        <v>46276</v>
      </c>
      <c r="C59" t="s">
        <v>63</v>
      </c>
      <c r="D59" t="s">
        <v>64</v>
      </c>
      <c r="E59" t="s">
        <v>353</v>
      </c>
      <c r="F59" t="s">
        <v>119</v>
      </c>
      <c r="G59" t="s">
        <v>120</v>
      </c>
      <c r="H59" t="s">
        <v>113</v>
      </c>
      <c r="I59">
        <v>1</v>
      </c>
      <c r="J59">
        <v>1400</v>
      </c>
      <c r="K59">
        <v>1400</v>
      </c>
      <c r="L59" t="s">
        <v>74</v>
      </c>
      <c r="M59" t="s">
        <v>55</v>
      </c>
      <c r="N59" t="s">
        <v>56</v>
      </c>
      <c r="O59" s="4">
        <v>46279</v>
      </c>
      <c r="P59" s="2">
        <v>46279</v>
      </c>
      <c r="Q59" t="s">
        <v>29</v>
      </c>
      <c r="R59" t="s">
        <v>145</v>
      </c>
      <c r="T59" s="10">
        <f t="shared" si="1"/>
        <v>0</v>
      </c>
      <c r="U59" s="13" t="str">
        <f t="shared" si="3"/>
        <v>On Time</v>
      </c>
      <c r="V59" s="15" t="str">
        <f t="shared" si="2"/>
        <v>September</v>
      </c>
    </row>
    <row r="60" spans="1:22" x14ac:dyDescent="0.25">
      <c r="A60" t="s">
        <v>188</v>
      </c>
      <c r="B60" s="4">
        <v>46205</v>
      </c>
      <c r="C60" t="s">
        <v>51</v>
      </c>
      <c r="D60" t="s">
        <v>52</v>
      </c>
      <c r="E60" t="s">
        <v>44</v>
      </c>
      <c r="F60" t="s">
        <v>91</v>
      </c>
      <c r="G60" t="s">
        <v>92</v>
      </c>
      <c r="H60" t="s">
        <v>25</v>
      </c>
      <c r="I60">
        <v>3</v>
      </c>
      <c r="J60">
        <v>180</v>
      </c>
      <c r="K60">
        <v>540</v>
      </c>
      <c r="L60" t="s">
        <v>48</v>
      </c>
      <c r="M60" t="s">
        <v>55</v>
      </c>
      <c r="N60" t="s">
        <v>28</v>
      </c>
      <c r="O60" s="4">
        <v>46211</v>
      </c>
      <c r="P60" s="2">
        <v>46214</v>
      </c>
      <c r="Q60" t="s">
        <v>29</v>
      </c>
      <c r="T60" s="10">
        <f t="shared" si="1"/>
        <v>3</v>
      </c>
      <c r="U60" s="13" t="str">
        <f t="shared" si="3"/>
        <v>Delayed</v>
      </c>
      <c r="V60" s="15" t="str">
        <f t="shared" si="2"/>
        <v>July</v>
      </c>
    </row>
    <row r="61" spans="1:22" x14ac:dyDescent="0.25">
      <c r="A61" t="s">
        <v>189</v>
      </c>
      <c r="B61" s="4">
        <v>46259</v>
      </c>
      <c r="C61" t="s">
        <v>184</v>
      </c>
      <c r="D61" t="s">
        <v>185</v>
      </c>
      <c r="E61" t="s">
        <v>88</v>
      </c>
      <c r="F61" t="s">
        <v>34</v>
      </c>
      <c r="G61" t="s">
        <v>35</v>
      </c>
      <c r="H61" t="s">
        <v>36</v>
      </c>
      <c r="I61">
        <v>2</v>
      </c>
      <c r="J61">
        <v>3200</v>
      </c>
      <c r="K61">
        <v>6400</v>
      </c>
      <c r="L61" t="s">
        <v>26</v>
      </c>
      <c r="M61" t="s">
        <v>27</v>
      </c>
      <c r="N61" t="s">
        <v>28</v>
      </c>
      <c r="O61" s="4">
        <v>46263</v>
      </c>
      <c r="P61" s="2">
        <v>46265</v>
      </c>
      <c r="Q61" t="s">
        <v>29</v>
      </c>
      <c r="T61" s="10">
        <f t="shared" si="1"/>
        <v>2</v>
      </c>
      <c r="U61" s="13" t="str">
        <f t="shared" si="3"/>
        <v>Slightly Delayed</v>
      </c>
      <c r="V61" s="15" t="str">
        <f t="shared" si="2"/>
        <v>August</v>
      </c>
    </row>
    <row r="62" spans="1:22" x14ac:dyDescent="0.25">
      <c r="A62" t="s">
        <v>190</v>
      </c>
      <c r="B62" s="4">
        <v>46245</v>
      </c>
      <c r="C62" t="s">
        <v>109</v>
      </c>
      <c r="D62" t="s">
        <v>110</v>
      </c>
      <c r="E62" t="s">
        <v>105</v>
      </c>
      <c r="F62" t="s">
        <v>65</v>
      </c>
      <c r="G62" t="s">
        <v>66</v>
      </c>
      <c r="H62" t="s">
        <v>36</v>
      </c>
      <c r="I62">
        <v>3</v>
      </c>
      <c r="J62">
        <v>500</v>
      </c>
      <c r="K62">
        <v>1500</v>
      </c>
      <c r="L62" t="s">
        <v>26</v>
      </c>
      <c r="M62" t="s">
        <v>55</v>
      </c>
      <c r="N62" t="s">
        <v>28</v>
      </c>
      <c r="O62" s="4">
        <v>46249</v>
      </c>
      <c r="P62" s="2">
        <v>46252</v>
      </c>
      <c r="Q62" t="s">
        <v>29</v>
      </c>
      <c r="T62" s="10">
        <f t="shared" si="1"/>
        <v>3</v>
      </c>
      <c r="U62" s="13" t="str">
        <f t="shared" si="3"/>
        <v>Delayed</v>
      </c>
      <c r="V62" s="15" t="str">
        <f t="shared" si="2"/>
        <v>August</v>
      </c>
    </row>
    <row r="63" spans="1:22" x14ac:dyDescent="0.25">
      <c r="A63" t="s">
        <v>191</v>
      </c>
      <c r="B63" s="4">
        <v>46247</v>
      </c>
      <c r="C63" t="s">
        <v>180</v>
      </c>
      <c r="D63" t="s">
        <v>181</v>
      </c>
      <c r="E63" t="s">
        <v>33</v>
      </c>
      <c r="F63" t="s">
        <v>34</v>
      </c>
      <c r="G63" t="s">
        <v>35</v>
      </c>
      <c r="H63" t="s">
        <v>36</v>
      </c>
      <c r="I63">
        <v>4</v>
      </c>
      <c r="J63">
        <v>3200</v>
      </c>
      <c r="K63">
        <v>12800</v>
      </c>
      <c r="L63" t="s">
        <v>61</v>
      </c>
      <c r="M63" t="s">
        <v>55</v>
      </c>
      <c r="N63" t="s">
        <v>28</v>
      </c>
      <c r="O63" s="4">
        <v>46250</v>
      </c>
      <c r="P63" s="2">
        <v>46251</v>
      </c>
      <c r="Q63" t="s">
        <v>29</v>
      </c>
      <c r="T63" s="10">
        <f t="shared" si="1"/>
        <v>1</v>
      </c>
      <c r="U63" s="13" t="str">
        <f t="shared" si="3"/>
        <v>Slightly Delayed</v>
      </c>
      <c r="V63" s="15" t="str">
        <f t="shared" si="2"/>
        <v>August</v>
      </c>
    </row>
    <row r="64" spans="1:22" x14ac:dyDescent="0.25">
      <c r="A64" t="s">
        <v>192</v>
      </c>
      <c r="B64" s="4">
        <v>46247</v>
      </c>
      <c r="C64" t="s">
        <v>20</v>
      </c>
      <c r="D64" t="s">
        <v>21</v>
      </c>
      <c r="E64" t="s">
        <v>22</v>
      </c>
      <c r="F64" t="s">
        <v>133</v>
      </c>
      <c r="G64" t="s">
        <v>134</v>
      </c>
      <c r="H64" t="s">
        <v>113</v>
      </c>
      <c r="I64">
        <v>3</v>
      </c>
      <c r="J64">
        <v>2200</v>
      </c>
      <c r="K64">
        <v>6600</v>
      </c>
      <c r="L64" t="s">
        <v>26</v>
      </c>
      <c r="M64" t="s">
        <v>27</v>
      </c>
      <c r="N64" t="s">
        <v>100</v>
      </c>
      <c r="O64" s="4">
        <v>46252</v>
      </c>
      <c r="P64" s="2"/>
      <c r="Q64" t="s">
        <v>39</v>
      </c>
      <c r="T64" s="10" t="str">
        <f t="shared" si="1"/>
        <v/>
      </c>
      <c r="U64" s="13" t="str">
        <f t="shared" si="3"/>
        <v>Not Delivered</v>
      </c>
      <c r="V64" s="15" t="str">
        <f t="shared" si="2"/>
        <v>August</v>
      </c>
    </row>
    <row r="65" spans="1:22" x14ac:dyDescent="0.25">
      <c r="A65" t="s">
        <v>193</v>
      </c>
      <c r="B65" s="4">
        <v>46234</v>
      </c>
      <c r="C65" t="s">
        <v>31</v>
      </c>
      <c r="D65" t="s">
        <v>32</v>
      </c>
      <c r="E65" t="s">
        <v>33</v>
      </c>
      <c r="F65" t="s">
        <v>106</v>
      </c>
      <c r="G65" t="s">
        <v>107</v>
      </c>
      <c r="H65" t="s">
        <v>47</v>
      </c>
      <c r="I65">
        <v>1</v>
      </c>
      <c r="J65">
        <v>2500</v>
      </c>
      <c r="K65">
        <v>2500</v>
      </c>
      <c r="L65" t="s">
        <v>74</v>
      </c>
      <c r="M65" t="s">
        <v>27</v>
      </c>
      <c r="N65" t="s">
        <v>38</v>
      </c>
      <c r="O65" s="4">
        <v>46240</v>
      </c>
      <c r="P65" s="2"/>
      <c r="Q65" t="s">
        <v>49</v>
      </c>
      <c r="S65" t="s">
        <v>194</v>
      </c>
      <c r="T65" s="10" t="str">
        <f t="shared" si="1"/>
        <v/>
      </c>
      <c r="U65" s="13" t="str">
        <f t="shared" si="3"/>
        <v>Not Delivered</v>
      </c>
      <c r="V65" s="15" t="str">
        <f t="shared" si="2"/>
        <v>July</v>
      </c>
    </row>
    <row r="66" spans="1:22" x14ac:dyDescent="0.25">
      <c r="A66" t="s">
        <v>195</v>
      </c>
      <c r="B66" s="4">
        <v>46215</v>
      </c>
      <c r="C66" t="s">
        <v>196</v>
      </c>
      <c r="D66" t="s">
        <v>197</v>
      </c>
      <c r="E66" t="s">
        <v>71</v>
      </c>
      <c r="F66" t="s">
        <v>34</v>
      </c>
      <c r="G66" t="s">
        <v>35</v>
      </c>
      <c r="H66" t="s">
        <v>36</v>
      </c>
      <c r="I66">
        <v>1</v>
      </c>
      <c r="J66">
        <v>3200</v>
      </c>
      <c r="K66">
        <v>3200</v>
      </c>
      <c r="L66" t="s">
        <v>79</v>
      </c>
      <c r="M66" t="s">
        <v>55</v>
      </c>
      <c r="N66" t="s">
        <v>67</v>
      </c>
      <c r="O66" s="4">
        <v>46220</v>
      </c>
      <c r="P66" s="2"/>
      <c r="Q66" t="s">
        <v>49</v>
      </c>
      <c r="T66" s="10" t="str">
        <f t="shared" si="1"/>
        <v/>
      </c>
      <c r="U66" s="13" t="str">
        <f t="shared" ref="U66:U97" si="4">IF(T66="","Not Delivered",IF(T66&lt;=0,"On Time",IF(T66&lt;=2,"Slightly Delayed","Delayed")))</f>
        <v>Not Delivered</v>
      </c>
      <c r="V66" s="15" t="str">
        <f t="shared" si="2"/>
        <v>July</v>
      </c>
    </row>
    <row r="67" spans="1:22" x14ac:dyDescent="0.25">
      <c r="A67" t="s">
        <v>198</v>
      </c>
      <c r="B67" s="4">
        <v>46264</v>
      </c>
      <c r="C67" t="s">
        <v>83</v>
      </c>
      <c r="D67" t="s">
        <v>84</v>
      </c>
      <c r="E67" t="s">
        <v>71</v>
      </c>
      <c r="F67" t="s">
        <v>147</v>
      </c>
      <c r="G67" t="s">
        <v>148</v>
      </c>
      <c r="H67" t="s">
        <v>25</v>
      </c>
      <c r="I67">
        <v>3</v>
      </c>
      <c r="J67">
        <v>450</v>
      </c>
      <c r="K67">
        <v>1350</v>
      </c>
      <c r="L67" t="s">
        <v>79</v>
      </c>
      <c r="M67" t="s">
        <v>55</v>
      </c>
      <c r="N67" t="s">
        <v>28</v>
      </c>
      <c r="O67" s="4">
        <v>46271</v>
      </c>
      <c r="P67" s="2">
        <v>46272</v>
      </c>
      <c r="Q67" t="s">
        <v>101</v>
      </c>
      <c r="T67" s="10">
        <f t="shared" ref="T67:T130" si="5">IF(P67="","",P67-O67)</f>
        <v>1</v>
      </c>
      <c r="U67" s="13" t="str">
        <f t="shared" si="4"/>
        <v>Slightly Delayed</v>
      </c>
      <c r="V67" s="15" t="str">
        <f t="shared" ref="V67:V130" si="6">TEXT(B67,"mmmm")</f>
        <v>August</v>
      </c>
    </row>
    <row r="68" spans="1:22" x14ac:dyDescent="0.25">
      <c r="A68" t="s">
        <v>199</v>
      </c>
      <c r="B68" s="4">
        <v>46243</v>
      </c>
      <c r="C68" t="s">
        <v>184</v>
      </c>
      <c r="D68" t="s">
        <v>185</v>
      </c>
      <c r="E68" t="s">
        <v>88</v>
      </c>
      <c r="F68" t="s">
        <v>34</v>
      </c>
      <c r="G68" t="s">
        <v>35</v>
      </c>
      <c r="H68" t="s">
        <v>36</v>
      </c>
      <c r="I68">
        <v>3</v>
      </c>
      <c r="J68">
        <v>3200</v>
      </c>
      <c r="K68">
        <v>9600</v>
      </c>
      <c r="L68" t="s">
        <v>48</v>
      </c>
      <c r="M68" t="s">
        <v>55</v>
      </c>
      <c r="N68" t="s">
        <v>67</v>
      </c>
      <c r="O68" s="4">
        <v>46248</v>
      </c>
      <c r="P68" s="2"/>
      <c r="Q68" t="s">
        <v>49</v>
      </c>
      <c r="T68" s="10" t="str">
        <f t="shared" si="5"/>
        <v/>
      </c>
      <c r="U68" s="13" t="str">
        <f t="shared" si="4"/>
        <v>Not Delivered</v>
      </c>
      <c r="V68" s="15" t="str">
        <f t="shared" si="6"/>
        <v>August</v>
      </c>
    </row>
    <row r="69" spans="1:22" x14ac:dyDescent="0.25">
      <c r="A69" t="s">
        <v>200</v>
      </c>
      <c r="B69" s="4">
        <v>46228</v>
      </c>
      <c r="C69" t="s">
        <v>125</v>
      </c>
      <c r="D69" t="s">
        <v>126</v>
      </c>
      <c r="E69" t="s">
        <v>44</v>
      </c>
      <c r="F69" t="s">
        <v>141</v>
      </c>
      <c r="G69" t="s">
        <v>142</v>
      </c>
      <c r="H69" t="s">
        <v>47</v>
      </c>
      <c r="I69">
        <v>2</v>
      </c>
      <c r="J69">
        <v>1800</v>
      </c>
      <c r="K69">
        <v>3600</v>
      </c>
      <c r="L69" t="s">
        <v>26</v>
      </c>
      <c r="M69" t="s">
        <v>55</v>
      </c>
      <c r="N69" t="s">
        <v>28</v>
      </c>
      <c r="O69" s="4">
        <v>46232</v>
      </c>
      <c r="P69" s="2">
        <v>46234</v>
      </c>
      <c r="Q69" t="s">
        <v>101</v>
      </c>
      <c r="T69" s="10">
        <f t="shared" si="5"/>
        <v>2</v>
      </c>
      <c r="U69" s="13" t="str">
        <f t="shared" si="4"/>
        <v>Slightly Delayed</v>
      </c>
      <c r="V69" s="15" t="str">
        <f t="shared" si="6"/>
        <v>July</v>
      </c>
    </row>
    <row r="70" spans="1:22" x14ac:dyDescent="0.25">
      <c r="A70" t="s">
        <v>201</v>
      </c>
      <c r="B70" s="4">
        <v>46233</v>
      </c>
      <c r="C70" t="s">
        <v>63</v>
      </c>
      <c r="D70" t="s">
        <v>64</v>
      </c>
      <c r="E70" t="s">
        <v>353</v>
      </c>
      <c r="F70" t="s">
        <v>106</v>
      </c>
      <c r="G70" t="s">
        <v>107</v>
      </c>
      <c r="H70" t="s">
        <v>47</v>
      </c>
      <c r="I70">
        <v>3</v>
      </c>
      <c r="J70">
        <v>2500</v>
      </c>
      <c r="K70">
        <v>7500</v>
      </c>
      <c r="L70" t="s">
        <v>48</v>
      </c>
      <c r="M70" t="s">
        <v>55</v>
      </c>
      <c r="N70" t="s">
        <v>28</v>
      </c>
      <c r="O70" s="4">
        <v>46238</v>
      </c>
      <c r="P70" s="2">
        <v>46238</v>
      </c>
      <c r="Q70" t="s">
        <v>49</v>
      </c>
      <c r="T70" s="10">
        <f t="shared" si="5"/>
        <v>0</v>
      </c>
      <c r="U70" s="13" t="str">
        <f t="shared" si="4"/>
        <v>On Time</v>
      </c>
      <c r="V70" s="15" t="str">
        <f t="shared" si="6"/>
        <v>July</v>
      </c>
    </row>
    <row r="71" spans="1:22" x14ac:dyDescent="0.25">
      <c r="A71" t="s">
        <v>202</v>
      </c>
      <c r="B71" s="4">
        <v>46274</v>
      </c>
      <c r="C71" t="s">
        <v>103</v>
      </c>
      <c r="D71" t="s">
        <v>104</v>
      </c>
      <c r="E71" t="s">
        <v>105</v>
      </c>
      <c r="F71" t="s">
        <v>53</v>
      </c>
      <c r="G71" t="s">
        <v>54</v>
      </c>
      <c r="H71" t="s">
        <v>47</v>
      </c>
      <c r="I71">
        <v>1</v>
      </c>
      <c r="J71">
        <v>850</v>
      </c>
      <c r="K71">
        <v>850</v>
      </c>
      <c r="L71" t="s">
        <v>61</v>
      </c>
      <c r="M71" t="s">
        <v>203</v>
      </c>
      <c r="N71" t="s">
        <v>38</v>
      </c>
      <c r="O71" s="4">
        <v>46279</v>
      </c>
      <c r="P71" s="2"/>
      <c r="Q71" t="s">
        <v>29</v>
      </c>
      <c r="S71" t="s">
        <v>204</v>
      </c>
      <c r="T71" s="10" t="str">
        <f t="shared" si="5"/>
        <v/>
      </c>
      <c r="U71" s="13" t="str">
        <f t="shared" si="4"/>
        <v>Not Delivered</v>
      </c>
      <c r="V71" s="15" t="str">
        <f t="shared" si="6"/>
        <v>September</v>
      </c>
    </row>
    <row r="72" spans="1:22" x14ac:dyDescent="0.25">
      <c r="A72" t="s">
        <v>205</v>
      </c>
      <c r="B72" s="4">
        <v>46264</v>
      </c>
      <c r="C72" t="s">
        <v>206</v>
      </c>
      <c r="D72" t="s">
        <v>207</v>
      </c>
      <c r="E72" t="s">
        <v>105</v>
      </c>
      <c r="F72" t="s">
        <v>147</v>
      </c>
      <c r="G72" t="s">
        <v>148</v>
      </c>
      <c r="H72" t="s">
        <v>25</v>
      </c>
      <c r="I72">
        <v>3</v>
      </c>
      <c r="J72">
        <v>450</v>
      </c>
      <c r="K72">
        <v>1350</v>
      </c>
      <c r="L72" t="s">
        <v>26</v>
      </c>
      <c r="M72" t="s">
        <v>55</v>
      </c>
      <c r="N72" t="s">
        <v>155</v>
      </c>
      <c r="O72" s="4">
        <v>46270</v>
      </c>
      <c r="P72" s="2"/>
      <c r="Q72" t="s">
        <v>49</v>
      </c>
      <c r="T72" s="10" t="str">
        <f t="shared" si="5"/>
        <v/>
      </c>
      <c r="U72" s="13" t="str">
        <f t="shared" si="4"/>
        <v>Not Delivered</v>
      </c>
      <c r="V72" s="15" t="str">
        <f t="shared" si="6"/>
        <v>August</v>
      </c>
    </row>
    <row r="73" spans="1:22" x14ac:dyDescent="0.25">
      <c r="A73" t="s">
        <v>208</v>
      </c>
      <c r="B73" s="4">
        <v>46218</v>
      </c>
      <c r="C73" t="s">
        <v>69</v>
      </c>
      <c r="D73" t="s">
        <v>70</v>
      </c>
      <c r="E73" t="s">
        <v>71</v>
      </c>
      <c r="F73" t="s">
        <v>177</v>
      </c>
      <c r="G73" t="s">
        <v>178</v>
      </c>
      <c r="H73" t="s">
        <v>113</v>
      </c>
      <c r="I73">
        <v>4</v>
      </c>
      <c r="J73">
        <v>700</v>
      </c>
      <c r="K73">
        <v>2800</v>
      </c>
      <c r="L73" t="s">
        <v>79</v>
      </c>
      <c r="M73" t="s">
        <v>27</v>
      </c>
      <c r="N73" t="s">
        <v>38</v>
      </c>
      <c r="O73" s="4">
        <v>46221</v>
      </c>
      <c r="P73" s="2"/>
      <c r="Q73" t="s">
        <v>39</v>
      </c>
      <c r="S73" t="s">
        <v>40</v>
      </c>
      <c r="T73" s="10" t="str">
        <f t="shared" si="5"/>
        <v/>
      </c>
      <c r="U73" s="13" t="str">
        <f t="shared" si="4"/>
        <v>Not Delivered</v>
      </c>
      <c r="V73" s="15" t="str">
        <f t="shared" si="6"/>
        <v>July</v>
      </c>
    </row>
    <row r="74" spans="1:22" x14ac:dyDescent="0.25">
      <c r="A74" t="s">
        <v>209</v>
      </c>
      <c r="B74" s="4">
        <v>46276</v>
      </c>
      <c r="C74" t="s">
        <v>69</v>
      </c>
      <c r="D74" t="s">
        <v>70</v>
      </c>
      <c r="E74" t="s">
        <v>71</v>
      </c>
      <c r="F74" t="s">
        <v>59</v>
      </c>
      <c r="G74" t="s">
        <v>60</v>
      </c>
      <c r="H74" t="s">
        <v>47</v>
      </c>
      <c r="I74">
        <v>2</v>
      </c>
      <c r="J74">
        <v>350</v>
      </c>
      <c r="K74">
        <v>700</v>
      </c>
      <c r="L74" t="s">
        <v>48</v>
      </c>
      <c r="M74" t="s">
        <v>55</v>
      </c>
      <c r="N74" t="s">
        <v>28</v>
      </c>
      <c r="O74" s="4">
        <v>46281</v>
      </c>
      <c r="P74" s="2">
        <v>46280</v>
      </c>
      <c r="Q74" t="s">
        <v>29</v>
      </c>
      <c r="T74" s="10">
        <f t="shared" si="5"/>
        <v>-1</v>
      </c>
      <c r="U74" s="13" t="str">
        <f t="shared" si="4"/>
        <v>On Time</v>
      </c>
      <c r="V74" s="15" t="str">
        <f t="shared" si="6"/>
        <v>September</v>
      </c>
    </row>
    <row r="75" spans="1:22" x14ac:dyDescent="0.25">
      <c r="A75" t="s">
        <v>210</v>
      </c>
      <c r="B75" s="4">
        <v>46270</v>
      </c>
      <c r="C75" t="s">
        <v>94</v>
      </c>
      <c r="D75" t="s">
        <v>95</v>
      </c>
      <c r="E75" t="s">
        <v>71</v>
      </c>
      <c r="F75" t="s">
        <v>150</v>
      </c>
      <c r="G75" t="s">
        <v>151</v>
      </c>
      <c r="H75" t="s">
        <v>25</v>
      </c>
      <c r="I75">
        <v>2</v>
      </c>
      <c r="J75">
        <v>550</v>
      </c>
      <c r="K75">
        <v>1100</v>
      </c>
      <c r="L75" t="s">
        <v>26</v>
      </c>
      <c r="M75" t="s">
        <v>55</v>
      </c>
      <c r="N75" t="s">
        <v>28</v>
      </c>
      <c r="O75" s="4">
        <v>46276</v>
      </c>
      <c r="P75" s="2">
        <v>46277</v>
      </c>
      <c r="Q75" t="s">
        <v>29</v>
      </c>
      <c r="T75" s="10">
        <f t="shared" si="5"/>
        <v>1</v>
      </c>
      <c r="U75" s="13" t="str">
        <f t="shared" si="4"/>
        <v>Slightly Delayed</v>
      </c>
      <c r="V75" s="15" t="str">
        <f t="shared" si="6"/>
        <v>September</v>
      </c>
    </row>
    <row r="76" spans="1:22" x14ac:dyDescent="0.25">
      <c r="A76" t="s">
        <v>212</v>
      </c>
      <c r="B76" s="4">
        <v>46282</v>
      </c>
      <c r="C76" t="s">
        <v>83</v>
      </c>
      <c r="D76" t="s">
        <v>84</v>
      </c>
      <c r="E76" t="s">
        <v>71</v>
      </c>
      <c r="F76" t="s">
        <v>147</v>
      </c>
      <c r="G76" t="s">
        <v>148</v>
      </c>
      <c r="H76" t="s">
        <v>25</v>
      </c>
      <c r="I76">
        <v>1</v>
      </c>
      <c r="J76">
        <v>450</v>
      </c>
      <c r="K76">
        <v>450</v>
      </c>
      <c r="L76" t="s">
        <v>61</v>
      </c>
      <c r="M76" t="s">
        <v>55</v>
      </c>
      <c r="N76" t="s">
        <v>89</v>
      </c>
      <c r="O76" s="4">
        <v>46285</v>
      </c>
      <c r="P76" s="2"/>
      <c r="Q76" t="s">
        <v>101</v>
      </c>
      <c r="T76" s="10" t="str">
        <f t="shared" si="5"/>
        <v/>
      </c>
      <c r="U76" s="13" t="str">
        <f t="shared" si="4"/>
        <v>Not Delivered</v>
      </c>
      <c r="V76" s="15" t="str">
        <f t="shared" si="6"/>
        <v>September</v>
      </c>
    </row>
    <row r="77" spans="1:22" x14ac:dyDescent="0.25">
      <c r="A77" t="s">
        <v>213</v>
      </c>
      <c r="B77" s="4">
        <v>46226</v>
      </c>
      <c r="C77" t="s">
        <v>51</v>
      </c>
      <c r="D77" t="s">
        <v>52</v>
      </c>
      <c r="E77" t="s">
        <v>44</v>
      </c>
      <c r="F77" t="s">
        <v>116</v>
      </c>
      <c r="G77" t="s">
        <v>117</v>
      </c>
      <c r="H77" t="s">
        <v>47</v>
      </c>
      <c r="I77">
        <v>2</v>
      </c>
      <c r="J77">
        <v>1200</v>
      </c>
      <c r="K77">
        <v>2400</v>
      </c>
      <c r="L77" t="s">
        <v>48</v>
      </c>
      <c r="M77" t="s">
        <v>55</v>
      </c>
      <c r="N77" t="s">
        <v>28</v>
      </c>
      <c r="O77" s="4">
        <v>46233</v>
      </c>
      <c r="P77" s="2">
        <v>46232</v>
      </c>
      <c r="Q77" t="s">
        <v>29</v>
      </c>
      <c r="T77" s="10">
        <f t="shared" si="5"/>
        <v>-1</v>
      </c>
      <c r="U77" s="13" t="str">
        <f t="shared" si="4"/>
        <v>On Time</v>
      </c>
      <c r="V77" s="15" t="str">
        <f t="shared" si="6"/>
        <v>July</v>
      </c>
    </row>
    <row r="78" spans="1:22" x14ac:dyDescent="0.25">
      <c r="A78" t="s">
        <v>214</v>
      </c>
      <c r="B78" s="4">
        <v>46241</v>
      </c>
      <c r="C78" t="s">
        <v>109</v>
      </c>
      <c r="D78" t="s">
        <v>110</v>
      </c>
      <c r="E78" t="s">
        <v>105</v>
      </c>
      <c r="F78" t="s">
        <v>150</v>
      </c>
      <c r="G78" t="s">
        <v>151</v>
      </c>
      <c r="H78" t="s">
        <v>25</v>
      </c>
      <c r="I78">
        <v>4</v>
      </c>
      <c r="J78">
        <v>550</v>
      </c>
      <c r="K78">
        <v>2200</v>
      </c>
      <c r="L78" t="s">
        <v>26</v>
      </c>
      <c r="M78" t="s">
        <v>55</v>
      </c>
      <c r="N78" t="s">
        <v>28</v>
      </c>
      <c r="O78" s="4">
        <v>46244</v>
      </c>
      <c r="P78" s="2">
        <v>46244</v>
      </c>
      <c r="Q78" t="s">
        <v>29</v>
      </c>
      <c r="T78" s="10">
        <f t="shared" si="5"/>
        <v>0</v>
      </c>
      <c r="U78" s="13" t="str">
        <f t="shared" si="4"/>
        <v>On Time</v>
      </c>
      <c r="V78" s="15" t="str">
        <f t="shared" si="6"/>
        <v>August</v>
      </c>
    </row>
    <row r="79" spans="1:22" x14ac:dyDescent="0.25">
      <c r="A79" t="s">
        <v>215</v>
      </c>
      <c r="B79" s="4">
        <v>46284</v>
      </c>
      <c r="C79" t="s">
        <v>51</v>
      </c>
      <c r="D79" t="s">
        <v>52</v>
      </c>
      <c r="E79" t="s">
        <v>44</v>
      </c>
      <c r="F79" t="s">
        <v>45</v>
      </c>
      <c r="G79" t="s">
        <v>46</v>
      </c>
      <c r="H79" t="s">
        <v>47</v>
      </c>
      <c r="I79">
        <v>3</v>
      </c>
      <c r="J79">
        <v>1100</v>
      </c>
      <c r="K79">
        <v>3300</v>
      </c>
      <c r="L79" t="s">
        <v>79</v>
      </c>
      <c r="M79" t="s">
        <v>55</v>
      </c>
      <c r="N79" t="s">
        <v>28</v>
      </c>
      <c r="O79" s="4">
        <v>46291</v>
      </c>
      <c r="P79" s="2">
        <v>46293</v>
      </c>
      <c r="Q79" t="s">
        <v>39</v>
      </c>
      <c r="T79" s="10">
        <f t="shared" si="5"/>
        <v>2</v>
      </c>
      <c r="U79" s="13" t="str">
        <f t="shared" si="4"/>
        <v>Slightly Delayed</v>
      </c>
      <c r="V79" s="15" t="str">
        <f t="shared" si="6"/>
        <v>September</v>
      </c>
    </row>
    <row r="80" spans="1:22" x14ac:dyDescent="0.25">
      <c r="A80" t="s">
        <v>216</v>
      </c>
      <c r="B80" s="4">
        <v>46238</v>
      </c>
      <c r="C80" t="s">
        <v>42</v>
      </c>
      <c r="D80" t="s">
        <v>43</v>
      </c>
      <c r="E80" t="s">
        <v>44</v>
      </c>
      <c r="F80" t="s">
        <v>45</v>
      </c>
      <c r="G80" t="s">
        <v>46</v>
      </c>
      <c r="H80" t="s">
        <v>47</v>
      </c>
      <c r="I80">
        <v>2</v>
      </c>
      <c r="J80">
        <v>1100</v>
      </c>
      <c r="K80">
        <v>2200</v>
      </c>
      <c r="L80" t="s">
        <v>61</v>
      </c>
      <c r="M80" t="s">
        <v>55</v>
      </c>
      <c r="N80" t="s">
        <v>28</v>
      </c>
      <c r="O80" s="4">
        <v>46242</v>
      </c>
      <c r="P80" s="2">
        <v>46241</v>
      </c>
      <c r="Q80" t="s">
        <v>101</v>
      </c>
      <c r="T80" s="10">
        <f t="shared" si="5"/>
        <v>-1</v>
      </c>
      <c r="U80" s="13" t="str">
        <f t="shared" si="4"/>
        <v>On Time</v>
      </c>
      <c r="V80" s="15" t="str">
        <f t="shared" si="6"/>
        <v>August</v>
      </c>
    </row>
    <row r="81" spans="1:22" x14ac:dyDescent="0.25">
      <c r="A81" t="s">
        <v>217</v>
      </c>
      <c r="B81" s="4">
        <v>46260</v>
      </c>
      <c r="C81" t="s">
        <v>94</v>
      </c>
      <c r="D81" t="s">
        <v>95</v>
      </c>
      <c r="E81" t="s">
        <v>96</v>
      </c>
      <c r="F81" t="s">
        <v>147</v>
      </c>
      <c r="G81" t="s">
        <v>148</v>
      </c>
      <c r="H81" t="s">
        <v>25</v>
      </c>
      <c r="I81">
        <v>3</v>
      </c>
      <c r="J81">
        <v>450</v>
      </c>
      <c r="K81">
        <v>1350</v>
      </c>
      <c r="L81" t="s">
        <v>26</v>
      </c>
      <c r="M81" t="s">
        <v>55</v>
      </c>
      <c r="N81" t="s">
        <v>56</v>
      </c>
      <c r="O81" s="4">
        <v>46263</v>
      </c>
      <c r="P81" s="2">
        <v>46264</v>
      </c>
      <c r="Q81" t="s">
        <v>29</v>
      </c>
      <c r="R81" t="s">
        <v>145</v>
      </c>
      <c r="T81" s="10">
        <f t="shared" si="5"/>
        <v>1</v>
      </c>
      <c r="U81" s="13" t="str">
        <f t="shared" si="4"/>
        <v>Slightly Delayed</v>
      </c>
      <c r="V81" s="15" t="str">
        <f t="shared" si="6"/>
        <v>August</v>
      </c>
    </row>
    <row r="82" spans="1:22" x14ac:dyDescent="0.25">
      <c r="A82" t="s">
        <v>218</v>
      </c>
      <c r="B82" s="4">
        <v>46260</v>
      </c>
      <c r="C82" t="s">
        <v>31</v>
      </c>
      <c r="D82" t="s">
        <v>32</v>
      </c>
      <c r="E82" t="s">
        <v>33</v>
      </c>
      <c r="F82" t="s">
        <v>23</v>
      </c>
      <c r="G82" t="s">
        <v>24</v>
      </c>
      <c r="H82" t="s">
        <v>25</v>
      </c>
      <c r="I82">
        <v>4</v>
      </c>
      <c r="J82">
        <v>120</v>
      </c>
      <c r="K82">
        <v>480</v>
      </c>
      <c r="L82" t="s">
        <v>79</v>
      </c>
      <c r="M82" t="s">
        <v>55</v>
      </c>
      <c r="N82" t="s">
        <v>28</v>
      </c>
      <c r="O82" s="4">
        <v>46263</v>
      </c>
      <c r="P82" s="2">
        <v>46264</v>
      </c>
      <c r="Q82" t="s">
        <v>101</v>
      </c>
      <c r="T82" s="10">
        <f t="shared" si="5"/>
        <v>1</v>
      </c>
      <c r="U82" s="13" t="str">
        <f t="shared" si="4"/>
        <v>Slightly Delayed</v>
      </c>
      <c r="V82" s="15" t="str">
        <f t="shared" si="6"/>
        <v>August</v>
      </c>
    </row>
    <row r="83" spans="1:22" x14ac:dyDescent="0.25">
      <c r="A83" t="s">
        <v>219</v>
      </c>
      <c r="B83" s="4">
        <v>46215</v>
      </c>
      <c r="C83" t="s">
        <v>94</v>
      </c>
      <c r="D83" t="s">
        <v>95</v>
      </c>
      <c r="E83" t="s">
        <v>96</v>
      </c>
      <c r="F83" t="s">
        <v>177</v>
      </c>
      <c r="G83" t="s">
        <v>178</v>
      </c>
      <c r="H83" t="s">
        <v>113</v>
      </c>
      <c r="I83">
        <v>1</v>
      </c>
      <c r="J83">
        <v>700</v>
      </c>
      <c r="K83">
        <v>700</v>
      </c>
      <c r="L83" t="s">
        <v>74</v>
      </c>
      <c r="M83" t="s">
        <v>27</v>
      </c>
      <c r="N83" t="s">
        <v>67</v>
      </c>
      <c r="O83" s="4">
        <v>46219</v>
      </c>
      <c r="P83" s="2"/>
      <c r="Q83" t="s">
        <v>39</v>
      </c>
      <c r="T83" s="10" t="str">
        <f t="shared" si="5"/>
        <v/>
      </c>
      <c r="U83" s="13" t="str">
        <f t="shared" si="4"/>
        <v>Not Delivered</v>
      </c>
      <c r="V83" s="15" t="str">
        <f t="shared" si="6"/>
        <v>July</v>
      </c>
    </row>
    <row r="84" spans="1:22" x14ac:dyDescent="0.25">
      <c r="A84" t="s">
        <v>220</v>
      </c>
      <c r="B84" s="4">
        <v>46226</v>
      </c>
      <c r="C84" t="s">
        <v>103</v>
      </c>
      <c r="D84" t="s">
        <v>104</v>
      </c>
      <c r="E84" t="s">
        <v>105</v>
      </c>
      <c r="F84" t="s">
        <v>147</v>
      </c>
      <c r="G84" t="s">
        <v>148</v>
      </c>
      <c r="H84" t="s">
        <v>25</v>
      </c>
      <c r="I84">
        <v>1</v>
      </c>
      <c r="J84">
        <v>450</v>
      </c>
      <c r="K84">
        <v>450</v>
      </c>
      <c r="L84" t="s">
        <v>79</v>
      </c>
      <c r="M84" t="s">
        <v>27</v>
      </c>
      <c r="N84" t="s">
        <v>28</v>
      </c>
      <c r="O84" s="4">
        <v>46232</v>
      </c>
      <c r="P84" s="2">
        <v>46233</v>
      </c>
      <c r="Q84" t="s">
        <v>101</v>
      </c>
      <c r="T84" s="10">
        <f t="shared" si="5"/>
        <v>1</v>
      </c>
      <c r="U84" s="13" t="str">
        <f t="shared" si="4"/>
        <v>Slightly Delayed</v>
      </c>
      <c r="V84" s="15" t="str">
        <f t="shared" si="6"/>
        <v>July</v>
      </c>
    </row>
    <row r="85" spans="1:22" x14ac:dyDescent="0.25">
      <c r="A85" t="s">
        <v>221</v>
      </c>
      <c r="B85" s="4">
        <v>46285</v>
      </c>
      <c r="C85" t="s">
        <v>139</v>
      </c>
      <c r="D85" t="s">
        <v>140</v>
      </c>
      <c r="E85" t="s">
        <v>96</v>
      </c>
      <c r="F85" t="s">
        <v>147</v>
      </c>
      <c r="G85" t="s">
        <v>148</v>
      </c>
      <c r="H85" t="s">
        <v>25</v>
      </c>
      <c r="I85">
        <v>4</v>
      </c>
      <c r="J85">
        <v>450</v>
      </c>
      <c r="K85">
        <v>1800</v>
      </c>
      <c r="L85" t="s">
        <v>79</v>
      </c>
      <c r="M85" t="s">
        <v>55</v>
      </c>
      <c r="N85" t="s">
        <v>67</v>
      </c>
      <c r="O85" s="4">
        <v>46291</v>
      </c>
      <c r="P85" s="2"/>
      <c r="Q85" t="s">
        <v>101</v>
      </c>
      <c r="T85" s="10" t="str">
        <f t="shared" si="5"/>
        <v/>
      </c>
      <c r="U85" s="13" t="str">
        <f t="shared" si="4"/>
        <v>Not Delivered</v>
      </c>
      <c r="V85" s="15" t="str">
        <f t="shared" si="6"/>
        <v>September</v>
      </c>
    </row>
    <row r="86" spans="1:22" x14ac:dyDescent="0.25">
      <c r="A86" t="s">
        <v>222</v>
      </c>
      <c r="B86" s="4">
        <v>46289</v>
      </c>
      <c r="C86" t="s">
        <v>129</v>
      </c>
      <c r="D86" t="s">
        <v>130</v>
      </c>
      <c r="E86" t="s">
        <v>22</v>
      </c>
      <c r="F86" t="s">
        <v>111</v>
      </c>
      <c r="G86" t="s">
        <v>112</v>
      </c>
      <c r="H86" t="s">
        <v>113</v>
      </c>
      <c r="I86">
        <v>3</v>
      </c>
      <c r="J86">
        <v>1250</v>
      </c>
      <c r="K86">
        <v>3750</v>
      </c>
      <c r="L86" t="s">
        <v>26</v>
      </c>
      <c r="M86" t="s">
        <v>55</v>
      </c>
      <c r="N86" t="s">
        <v>155</v>
      </c>
      <c r="O86" s="4">
        <v>46292</v>
      </c>
      <c r="P86" s="2"/>
      <c r="Q86" t="s">
        <v>29</v>
      </c>
      <c r="T86" s="10" t="str">
        <f t="shared" si="5"/>
        <v/>
      </c>
      <c r="U86" s="13" t="str">
        <f t="shared" si="4"/>
        <v>Not Delivered</v>
      </c>
      <c r="V86" s="15" t="str">
        <f t="shared" si="6"/>
        <v>September</v>
      </c>
    </row>
    <row r="87" spans="1:22" x14ac:dyDescent="0.25">
      <c r="A87" t="s">
        <v>223</v>
      </c>
      <c r="B87" s="4">
        <v>46274</v>
      </c>
      <c r="C87" t="s">
        <v>196</v>
      </c>
      <c r="D87" t="s">
        <v>197</v>
      </c>
      <c r="E87" t="s">
        <v>71</v>
      </c>
      <c r="F87" t="s">
        <v>119</v>
      </c>
      <c r="G87" t="s">
        <v>120</v>
      </c>
      <c r="H87" t="s">
        <v>113</v>
      </c>
      <c r="I87">
        <v>4</v>
      </c>
      <c r="J87">
        <v>1400</v>
      </c>
      <c r="K87">
        <v>5600</v>
      </c>
      <c r="L87" t="s">
        <v>26</v>
      </c>
      <c r="M87" t="s">
        <v>55</v>
      </c>
      <c r="N87" t="s">
        <v>28</v>
      </c>
      <c r="O87" s="4">
        <v>46277</v>
      </c>
      <c r="P87" s="2">
        <v>46278</v>
      </c>
      <c r="Q87" t="s">
        <v>101</v>
      </c>
      <c r="T87" s="10">
        <f t="shared" si="5"/>
        <v>1</v>
      </c>
      <c r="U87" s="13" t="str">
        <f t="shared" si="4"/>
        <v>Slightly Delayed</v>
      </c>
      <c r="V87" s="15" t="str">
        <f t="shared" si="6"/>
        <v>September</v>
      </c>
    </row>
    <row r="88" spans="1:22" x14ac:dyDescent="0.25">
      <c r="A88" t="s">
        <v>224</v>
      </c>
      <c r="B88" s="4">
        <v>46269</v>
      </c>
      <c r="C88" t="s">
        <v>125</v>
      </c>
      <c r="D88" t="s">
        <v>126</v>
      </c>
      <c r="E88" t="s">
        <v>44</v>
      </c>
      <c r="F88" t="s">
        <v>141</v>
      </c>
      <c r="G88" t="s">
        <v>142</v>
      </c>
      <c r="H88" t="s">
        <v>47</v>
      </c>
      <c r="I88">
        <v>4</v>
      </c>
      <c r="J88">
        <v>1800</v>
      </c>
      <c r="K88">
        <v>7200</v>
      </c>
      <c r="L88" t="s">
        <v>79</v>
      </c>
      <c r="M88" t="s">
        <v>27</v>
      </c>
      <c r="N88" t="s">
        <v>28</v>
      </c>
      <c r="O88" s="4">
        <v>46272</v>
      </c>
      <c r="P88" s="2">
        <v>46274</v>
      </c>
      <c r="Q88" t="s">
        <v>29</v>
      </c>
      <c r="T88" s="10">
        <f t="shared" si="5"/>
        <v>2</v>
      </c>
      <c r="U88" s="13" t="str">
        <f t="shared" si="4"/>
        <v>Slightly Delayed</v>
      </c>
      <c r="V88" s="15" t="str">
        <f t="shared" si="6"/>
        <v>September</v>
      </c>
    </row>
    <row r="89" spans="1:22" x14ac:dyDescent="0.25">
      <c r="A89" t="s">
        <v>225</v>
      </c>
      <c r="B89" s="4">
        <v>46283</v>
      </c>
      <c r="C89" t="s">
        <v>69</v>
      </c>
      <c r="D89" t="s">
        <v>70</v>
      </c>
      <c r="E89" t="s">
        <v>71</v>
      </c>
      <c r="F89" t="s">
        <v>106</v>
      </c>
      <c r="G89" t="s">
        <v>107</v>
      </c>
      <c r="H89" t="s">
        <v>47</v>
      </c>
      <c r="I89">
        <v>3</v>
      </c>
      <c r="J89">
        <v>2500</v>
      </c>
      <c r="K89">
        <v>7500</v>
      </c>
      <c r="L89" t="s">
        <v>79</v>
      </c>
      <c r="M89" t="s">
        <v>27</v>
      </c>
      <c r="N89" t="s">
        <v>155</v>
      </c>
      <c r="O89" s="4">
        <v>46289</v>
      </c>
      <c r="P89" s="2"/>
      <c r="Q89" t="s">
        <v>39</v>
      </c>
      <c r="T89" s="10" t="str">
        <f t="shared" si="5"/>
        <v/>
      </c>
      <c r="U89" s="13" t="str">
        <f t="shared" si="4"/>
        <v>Not Delivered</v>
      </c>
      <c r="V89" s="15" t="str">
        <f t="shared" si="6"/>
        <v>September</v>
      </c>
    </row>
    <row r="90" spans="1:22" x14ac:dyDescent="0.25">
      <c r="A90" t="s">
        <v>226</v>
      </c>
      <c r="B90" s="4">
        <v>46240</v>
      </c>
      <c r="C90" t="s">
        <v>20</v>
      </c>
      <c r="D90" t="s">
        <v>21</v>
      </c>
      <c r="E90" t="s">
        <v>22</v>
      </c>
      <c r="F90" t="s">
        <v>177</v>
      </c>
      <c r="G90" t="s">
        <v>178</v>
      </c>
      <c r="H90" t="s">
        <v>113</v>
      </c>
      <c r="I90">
        <v>2</v>
      </c>
      <c r="J90">
        <v>700</v>
      </c>
      <c r="K90">
        <v>1400</v>
      </c>
      <c r="L90" t="s">
        <v>79</v>
      </c>
      <c r="M90" t="s">
        <v>27</v>
      </c>
      <c r="N90" t="s">
        <v>67</v>
      </c>
      <c r="O90" s="4">
        <v>46246</v>
      </c>
      <c r="P90" s="2"/>
      <c r="Q90" t="s">
        <v>39</v>
      </c>
      <c r="T90" s="10" t="str">
        <f t="shared" si="5"/>
        <v/>
      </c>
      <c r="U90" s="13" t="str">
        <f t="shared" si="4"/>
        <v>Not Delivered</v>
      </c>
      <c r="V90" s="15" t="str">
        <f t="shared" si="6"/>
        <v>August</v>
      </c>
    </row>
    <row r="91" spans="1:22" x14ac:dyDescent="0.25">
      <c r="A91" t="s">
        <v>227</v>
      </c>
      <c r="B91" s="4">
        <v>46294</v>
      </c>
      <c r="C91" t="s">
        <v>206</v>
      </c>
      <c r="D91" t="s">
        <v>207</v>
      </c>
      <c r="E91" t="s">
        <v>105</v>
      </c>
      <c r="F91" t="s">
        <v>150</v>
      </c>
      <c r="G91" t="s">
        <v>151</v>
      </c>
      <c r="H91" t="s">
        <v>25</v>
      </c>
      <c r="I91">
        <v>2</v>
      </c>
      <c r="J91">
        <v>550</v>
      </c>
      <c r="K91">
        <v>1100</v>
      </c>
      <c r="L91" t="s">
        <v>74</v>
      </c>
      <c r="M91" t="s">
        <v>27</v>
      </c>
      <c r="N91" t="s">
        <v>38</v>
      </c>
      <c r="O91" s="4">
        <v>46298</v>
      </c>
      <c r="P91" s="2"/>
      <c r="Q91" t="s">
        <v>39</v>
      </c>
      <c r="S91" t="s">
        <v>40</v>
      </c>
      <c r="T91" s="10" t="str">
        <f t="shared" si="5"/>
        <v/>
      </c>
      <c r="U91" s="13" t="str">
        <f t="shared" si="4"/>
        <v>Not Delivered</v>
      </c>
      <c r="V91" s="15" t="str">
        <f t="shared" si="6"/>
        <v>September</v>
      </c>
    </row>
    <row r="92" spans="1:22" x14ac:dyDescent="0.25">
      <c r="A92" t="s">
        <v>228</v>
      </c>
      <c r="B92" s="4">
        <v>46218</v>
      </c>
      <c r="C92" t="s">
        <v>129</v>
      </c>
      <c r="D92" t="s">
        <v>130</v>
      </c>
      <c r="E92" t="s">
        <v>22</v>
      </c>
      <c r="F92" t="s">
        <v>97</v>
      </c>
      <c r="G92" t="s">
        <v>98</v>
      </c>
      <c r="H92" t="s">
        <v>47</v>
      </c>
      <c r="I92">
        <v>2</v>
      </c>
      <c r="J92">
        <v>1450</v>
      </c>
      <c r="K92">
        <v>2900</v>
      </c>
      <c r="L92" t="s">
        <v>61</v>
      </c>
      <c r="M92" t="s">
        <v>27</v>
      </c>
      <c r="N92" t="s">
        <v>28</v>
      </c>
      <c r="O92" s="4">
        <v>46224</v>
      </c>
      <c r="P92" s="2">
        <v>46223</v>
      </c>
      <c r="Q92" t="s">
        <v>29</v>
      </c>
      <c r="T92" s="10">
        <f t="shared" si="5"/>
        <v>-1</v>
      </c>
      <c r="U92" s="13" t="str">
        <f t="shared" si="4"/>
        <v>On Time</v>
      </c>
      <c r="V92" s="15" t="str">
        <f t="shared" si="6"/>
        <v>July</v>
      </c>
    </row>
    <row r="93" spans="1:22" x14ac:dyDescent="0.25">
      <c r="A93" t="s">
        <v>229</v>
      </c>
      <c r="B93" s="4">
        <v>46257</v>
      </c>
      <c r="C93" t="s">
        <v>83</v>
      </c>
      <c r="D93" t="s">
        <v>84</v>
      </c>
      <c r="E93" t="s">
        <v>71</v>
      </c>
      <c r="F93" t="s">
        <v>91</v>
      </c>
      <c r="G93" t="s">
        <v>92</v>
      </c>
      <c r="H93" t="s">
        <v>25</v>
      </c>
      <c r="I93">
        <v>3</v>
      </c>
      <c r="J93">
        <v>180</v>
      </c>
      <c r="K93">
        <v>540</v>
      </c>
      <c r="L93" t="s">
        <v>79</v>
      </c>
      <c r="M93" t="s">
        <v>55</v>
      </c>
      <c r="N93" t="s">
        <v>28</v>
      </c>
      <c r="O93" s="4">
        <v>46263</v>
      </c>
      <c r="P93" s="2">
        <v>46264</v>
      </c>
      <c r="Q93" t="s">
        <v>49</v>
      </c>
      <c r="T93" s="10">
        <f t="shared" si="5"/>
        <v>1</v>
      </c>
      <c r="U93" s="13" t="str">
        <f t="shared" si="4"/>
        <v>Slightly Delayed</v>
      </c>
      <c r="V93" s="15" t="str">
        <f t="shared" si="6"/>
        <v>August</v>
      </c>
    </row>
    <row r="94" spans="1:22" x14ac:dyDescent="0.25">
      <c r="A94" t="s">
        <v>230</v>
      </c>
      <c r="B94" s="4">
        <v>46212</v>
      </c>
      <c r="C94" t="s">
        <v>157</v>
      </c>
      <c r="D94" t="s">
        <v>158</v>
      </c>
      <c r="E94" t="s">
        <v>96</v>
      </c>
      <c r="F94" t="s">
        <v>106</v>
      </c>
      <c r="G94" t="s">
        <v>107</v>
      </c>
      <c r="H94" t="s">
        <v>47</v>
      </c>
      <c r="I94">
        <v>2</v>
      </c>
      <c r="J94">
        <v>2500</v>
      </c>
      <c r="K94">
        <v>5000</v>
      </c>
      <c r="L94" t="s">
        <v>26</v>
      </c>
      <c r="M94" t="s">
        <v>55</v>
      </c>
      <c r="N94" t="s">
        <v>155</v>
      </c>
      <c r="O94" s="4">
        <v>46217</v>
      </c>
      <c r="P94" s="2"/>
      <c r="Q94" t="s">
        <v>101</v>
      </c>
      <c r="T94" s="10" t="str">
        <f t="shared" si="5"/>
        <v/>
      </c>
      <c r="U94" s="13" t="str">
        <f t="shared" si="4"/>
        <v>Not Delivered</v>
      </c>
      <c r="V94" s="15" t="str">
        <f t="shared" si="6"/>
        <v>July</v>
      </c>
    </row>
    <row r="95" spans="1:22" x14ac:dyDescent="0.25">
      <c r="A95" t="s">
        <v>231</v>
      </c>
      <c r="B95" s="4">
        <v>46279</v>
      </c>
      <c r="C95" t="s">
        <v>206</v>
      </c>
      <c r="D95" t="s">
        <v>207</v>
      </c>
      <c r="E95" t="s">
        <v>105</v>
      </c>
      <c r="F95" t="s">
        <v>119</v>
      </c>
      <c r="G95" t="s">
        <v>120</v>
      </c>
      <c r="H95" t="s">
        <v>113</v>
      </c>
      <c r="I95">
        <v>3</v>
      </c>
      <c r="J95">
        <v>1400</v>
      </c>
      <c r="K95">
        <v>4200</v>
      </c>
      <c r="L95" t="s">
        <v>61</v>
      </c>
      <c r="M95" t="s">
        <v>55</v>
      </c>
      <c r="N95" t="s">
        <v>28</v>
      </c>
      <c r="O95" s="4">
        <v>46286</v>
      </c>
      <c r="P95" s="2">
        <v>46288</v>
      </c>
      <c r="Q95" t="s">
        <v>29</v>
      </c>
      <c r="T95" s="10">
        <f t="shared" si="5"/>
        <v>2</v>
      </c>
      <c r="U95" s="13" t="str">
        <f t="shared" si="4"/>
        <v>Slightly Delayed</v>
      </c>
      <c r="V95" s="15" t="str">
        <f t="shared" si="6"/>
        <v>September</v>
      </c>
    </row>
    <row r="96" spans="1:22" x14ac:dyDescent="0.25">
      <c r="A96" t="s">
        <v>232</v>
      </c>
      <c r="B96" s="4">
        <v>46246</v>
      </c>
      <c r="C96" t="s">
        <v>42</v>
      </c>
      <c r="D96" t="s">
        <v>43</v>
      </c>
      <c r="E96" t="s">
        <v>44</v>
      </c>
      <c r="F96" t="s">
        <v>233</v>
      </c>
      <c r="G96" t="s">
        <v>234</v>
      </c>
      <c r="H96" t="s">
        <v>36</v>
      </c>
      <c r="I96">
        <v>3</v>
      </c>
      <c r="J96">
        <v>750</v>
      </c>
      <c r="K96">
        <v>2250</v>
      </c>
      <c r="L96" t="s">
        <v>79</v>
      </c>
      <c r="M96" t="s">
        <v>27</v>
      </c>
      <c r="N96" t="s">
        <v>100</v>
      </c>
      <c r="O96" s="4">
        <v>46253</v>
      </c>
      <c r="P96" s="2"/>
      <c r="Q96" t="s">
        <v>29</v>
      </c>
      <c r="T96" s="10" t="str">
        <f t="shared" si="5"/>
        <v/>
      </c>
      <c r="U96" s="13" t="str">
        <f t="shared" si="4"/>
        <v>Not Delivered</v>
      </c>
      <c r="V96" s="15" t="str">
        <f t="shared" si="6"/>
        <v>August</v>
      </c>
    </row>
    <row r="97" spans="1:22" x14ac:dyDescent="0.25">
      <c r="A97" t="s">
        <v>235</v>
      </c>
      <c r="B97" s="4">
        <v>46277</v>
      </c>
      <c r="C97" t="s">
        <v>125</v>
      </c>
      <c r="D97" t="s">
        <v>126</v>
      </c>
      <c r="E97" t="s">
        <v>44</v>
      </c>
      <c r="F97" t="s">
        <v>106</v>
      </c>
      <c r="G97" t="s">
        <v>107</v>
      </c>
      <c r="H97" t="s">
        <v>47</v>
      </c>
      <c r="I97">
        <v>2</v>
      </c>
      <c r="J97">
        <v>2500</v>
      </c>
      <c r="K97">
        <v>5000</v>
      </c>
      <c r="L97" t="s">
        <v>48</v>
      </c>
      <c r="M97" t="s">
        <v>55</v>
      </c>
      <c r="N97" t="s">
        <v>28</v>
      </c>
      <c r="O97" s="4">
        <v>46283</v>
      </c>
      <c r="P97" s="2">
        <v>46283</v>
      </c>
      <c r="Q97" t="s">
        <v>101</v>
      </c>
      <c r="T97" s="10">
        <f t="shared" si="5"/>
        <v>0</v>
      </c>
      <c r="U97" s="13" t="str">
        <f t="shared" si="4"/>
        <v>On Time</v>
      </c>
      <c r="V97" s="15" t="str">
        <f t="shared" si="6"/>
        <v>September</v>
      </c>
    </row>
    <row r="98" spans="1:22" x14ac:dyDescent="0.25">
      <c r="A98" t="s">
        <v>236</v>
      </c>
      <c r="B98" s="4">
        <v>46288</v>
      </c>
      <c r="C98" t="s">
        <v>196</v>
      </c>
      <c r="D98" t="s">
        <v>197</v>
      </c>
      <c r="E98" t="s">
        <v>71</v>
      </c>
      <c r="F98" t="s">
        <v>72</v>
      </c>
      <c r="G98" t="s">
        <v>73</v>
      </c>
      <c r="H98" t="s">
        <v>36</v>
      </c>
      <c r="I98">
        <v>4</v>
      </c>
      <c r="J98">
        <v>950</v>
      </c>
      <c r="K98">
        <v>3800</v>
      </c>
      <c r="L98" t="s">
        <v>61</v>
      </c>
      <c r="M98" t="s">
        <v>55</v>
      </c>
      <c r="N98" t="s">
        <v>28</v>
      </c>
      <c r="O98" s="4">
        <v>46292</v>
      </c>
      <c r="P98" s="2">
        <v>46293</v>
      </c>
      <c r="Q98" t="s">
        <v>101</v>
      </c>
      <c r="T98" s="10">
        <f t="shared" si="5"/>
        <v>1</v>
      </c>
      <c r="U98" s="13" t="str">
        <f t="shared" ref="U98:U129" si="7">IF(T98="","Not Delivered",IF(T98&lt;=0,"On Time",IF(T98&lt;=2,"Slightly Delayed","Delayed")))</f>
        <v>Slightly Delayed</v>
      </c>
      <c r="V98" s="15" t="str">
        <f t="shared" si="6"/>
        <v>September</v>
      </c>
    </row>
    <row r="99" spans="1:22" x14ac:dyDescent="0.25">
      <c r="A99" t="s">
        <v>237</v>
      </c>
      <c r="B99" s="4">
        <v>46271</v>
      </c>
      <c r="C99" t="s">
        <v>63</v>
      </c>
      <c r="D99" t="s">
        <v>64</v>
      </c>
      <c r="E99" t="s">
        <v>353</v>
      </c>
      <c r="F99" t="s">
        <v>34</v>
      </c>
      <c r="G99" t="s">
        <v>35</v>
      </c>
      <c r="H99" t="s">
        <v>36</v>
      </c>
      <c r="I99">
        <v>1</v>
      </c>
      <c r="J99">
        <v>3200</v>
      </c>
      <c r="K99">
        <v>3200</v>
      </c>
      <c r="L99" t="s">
        <v>61</v>
      </c>
      <c r="M99" t="s">
        <v>37</v>
      </c>
      <c r="N99" t="s">
        <v>38</v>
      </c>
      <c r="O99" s="4">
        <v>46277</v>
      </c>
      <c r="P99" s="2"/>
      <c r="Q99" t="s">
        <v>29</v>
      </c>
      <c r="S99" t="s">
        <v>131</v>
      </c>
      <c r="T99" s="10" t="str">
        <f t="shared" si="5"/>
        <v/>
      </c>
      <c r="U99" s="13" t="str">
        <f t="shared" si="7"/>
        <v>Not Delivered</v>
      </c>
      <c r="V99" s="15" t="str">
        <f t="shared" si="6"/>
        <v>September</v>
      </c>
    </row>
    <row r="100" spans="1:22" x14ac:dyDescent="0.25">
      <c r="A100" t="s">
        <v>238</v>
      </c>
      <c r="B100" s="4">
        <v>46247</v>
      </c>
      <c r="C100" t="s">
        <v>51</v>
      </c>
      <c r="D100" t="s">
        <v>52</v>
      </c>
      <c r="E100" t="s">
        <v>44</v>
      </c>
      <c r="F100" t="s">
        <v>233</v>
      </c>
      <c r="G100" t="s">
        <v>234</v>
      </c>
      <c r="H100" t="s">
        <v>36</v>
      </c>
      <c r="I100">
        <v>3</v>
      </c>
      <c r="J100">
        <v>750</v>
      </c>
      <c r="K100">
        <v>2250</v>
      </c>
      <c r="L100" t="s">
        <v>48</v>
      </c>
      <c r="M100" t="s">
        <v>55</v>
      </c>
      <c r="N100" t="s">
        <v>28</v>
      </c>
      <c r="O100" s="4">
        <v>46254</v>
      </c>
      <c r="P100" s="2">
        <v>46256</v>
      </c>
      <c r="Q100" t="s">
        <v>101</v>
      </c>
      <c r="T100" s="10">
        <f t="shared" si="5"/>
        <v>2</v>
      </c>
      <c r="U100" s="13" t="str">
        <f t="shared" si="7"/>
        <v>Slightly Delayed</v>
      </c>
      <c r="V100" s="15" t="str">
        <f t="shared" si="6"/>
        <v>August</v>
      </c>
    </row>
    <row r="101" spans="1:22" x14ac:dyDescent="0.25">
      <c r="A101" t="s">
        <v>239</v>
      </c>
      <c r="B101" s="4">
        <v>46284</v>
      </c>
      <c r="C101" t="s">
        <v>42</v>
      </c>
      <c r="D101" t="s">
        <v>43</v>
      </c>
      <c r="E101" t="s">
        <v>44</v>
      </c>
      <c r="F101" t="s">
        <v>72</v>
      </c>
      <c r="G101" t="s">
        <v>73</v>
      </c>
      <c r="H101" t="s">
        <v>36</v>
      </c>
      <c r="I101">
        <v>3</v>
      </c>
      <c r="J101">
        <v>950</v>
      </c>
      <c r="K101">
        <v>2850</v>
      </c>
      <c r="L101" t="s">
        <v>48</v>
      </c>
      <c r="M101" t="s">
        <v>27</v>
      </c>
      <c r="N101" t="s">
        <v>28</v>
      </c>
      <c r="O101" s="4">
        <v>46290</v>
      </c>
      <c r="P101" s="2">
        <v>46293</v>
      </c>
      <c r="Q101" t="s">
        <v>39</v>
      </c>
      <c r="T101" s="10">
        <f t="shared" si="5"/>
        <v>3</v>
      </c>
      <c r="U101" s="13" t="str">
        <f t="shared" si="7"/>
        <v>Delayed</v>
      </c>
      <c r="V101" s="15" t="str">
        <f t="shared" si="6"/>
        <v>September</v>
      </c>
    </row>
    <row r="102" spans="1:22" x14ac:dyDescent="0.25">
      <c r="A102" t="s">
        <v>240</v>
      </c>
      <c r="B102" s="4">
        <v>46215</v>
      </c>
      <c r="C102" t="s">
        <v>180</v>
      </c>
      <c r="D102" t="s">
        <v>181</v>
      </c>
      <c r="E102" t="s">
        <v>33</v>
      </c>
      <c r="F102" t="s">
        <v>119</v>
      </c>
      <c r="G102" t="s">
        <v>120</v>
      </c>
      <c r="H102" t="s">
        <v>113</v>
      </c>
      <c r="I102">
        <v>2</v>
      </c>
      <c r="J102">
        <v>1400</v>
      </c>
      <c r="K102">
        <v>2800</v>
      </c>
      <c r="L102" t="s">
        <v>48</v>
      </c>
      <c r="M102" t="s">
        <v>37</v>
      </c>
      <c r="N102" t="s">
        <v>38</v>
      </c>
      <c r="O102" s="4">
        <v>46221</v>
      </c>
      <c r="P102" s="2"/>
      <c r="Q102" t="s">
        <v>29</v>
      </c>
      <c r="S102" t="s">
        <v>131</v>
      </c>
      <c r="T102" s="10" t="str">
        <f t="shared" si="5"/>
        <v/>
      </c>
      <c r="U102" s="13" t="str">
        <f t="shared" si="7"/>
        <v>Not Delivered</v>
      </c>
      <c r="V102" s="15" t="str">
        <f t="shared" si="6"/>
        <v>July</v>
      </c>
    </row>
    <row r="103" spans="1:22" x14ac:dyDescent="0.25">
      <c r="A103" t="s">
        <v>241</v>
      </c>
      <c r="B103" s="4">
        <v>46245</v>
      </c>
      <c r="C103" t="s">
        <v>83</v>
      </c>
      <c r="D103" t="s">
        <v>84</v>
      </c>
      <c r="E103" t="s">
        <v>71</v>
      </c>
      <c r="F103" t="s">
        <v>136</v>
      </c>
      <c r="G103" t="s">
        <v>137</v>
      </c>
      <c r="H103" t="s">
        <v>47</v>
      </c>
      <c r="I103">
        <v>1</v>
      </c>
      <c r="J103">
        <v>650</v>
      </c>
      <c r="K103">
        <v>650</v>
      </c>
      <c r="L103" t="s">
        <v>26</v>
      </c>
      <c r="M103" t="s">
        <v>55</v>
      </c>
      <c r="N103" t="s">
        <v>28</v>
      </c>
      <c r="O103" s="4">
        <v>46248</v>
      </c>
      <c r="P103" s="2">
        <v>46248</v>
      </c>
      <c r="Q103" t="s">
        <v>29</v>
      </c>
      <c r="T103" s="10">
        <f t="shared" si="5"/>
        <v>0</v>
      </c>
      <c r="U103" s="13" t="str">
        <f t="shared" si="7"/>
        <v>On Time</v>
      </c>
      <c r="V103" s="15" t="str">
        <f t="shared" si="6"/>
        <v>August</v>
      </c>
    </row>
    <row r="104" spans="1:22" x14ac:dyDescent="0.25">
      <c r="A104" t="s">
        <v>242</v>
      </c>
      <c r="B104" s="4">
        <v>46276</v>
      </c>
      <c r="C104" t="s">
        <v>76</v>
      </c>
      <c r="D104" t="s">
        <v>77</v>
      </c>
      <c r="E104" t="s">
        <v>88</v>
      </c>
      <c r="F104" t="s">
        <v>45</v>
      </c>
      <c r="G104" t="s">
        <v>46</v>
      </c>
      <c r="H104" t="s">
        <v>47</v>
      </c>
      <c r="I104">
        <v>4</v>
      </c>
      <c r="J104">
        <v>1100</v>
      </c>
      <c r="K104">
        <v>4400</v>
      </c>
      <c r="L104" t="s">
        <v>48</v>
      </c>
      <c r="M104" t="s">
        <v>55</v>
      </c>
      <c r="N104" t="s">
        <v>28</v>
      </c>
      <c r="O104" s="4">
        <v>46280</v>
      </c>
      <c r="P104" s="2">
        <v>46280</v>
      </c>
      <c r="Q104" t="s">
        <v>29</v>
      </c>
      <c r="T104" s="10">
        <f t="shared" si="5"/>
        <v>0</v>
      </c>
      <c r="U104" s="13" t="str">
        <f t="shared" si="7"/>
        <v>On Time</v>
      </c>
      <c r="V104" s="15" t="str">
        <f t="shared" si="6"/>
        <v>September</v>
      </c>
    </row>
    <row r="105" spans="1:22" x14ac:dyDescent="0.25">
      <c r="A105" t="s">
        <v>243</v>
      </c>
      <c r="B105" s="4">
        <v>46278</v>
      </c>
      <c r="C105" t="s">
        <v>94</v>
      </c>
      <c r="D105" t="s">
        <v>95</v>
      </c>
      <c r="E105" t="s">
        <v>96</v>
      </c>
      <c r="F105" t="s">
        <v>45</v>
      </c>
      <c r="G105" t="s">
        <v>46</v>
      </c>
      <c r="H105" t="s">
        <v>47</v>
      </c>
      <c r="I105">
        <v>4</v>
      </c>
      <c r="J105">
        <v>1100</v>
      </c>
      <c r="K105">
        <v>4400</v>
      </c>
      <c r="L105" t="s">
        <v>79</v>
      </c>
      <c r="M105" t="s">
        <v>37</v>
      </c>
      <c r="N105" t="s">
        <v>38</v>
      </c>
      <c r="O105" s="4">
        <v>46282</v>
      </c>
      <c r="P105" s="2"/>
      <c r="Q105" t="s">
        <v>101</v>
      </c>
      <c r="S105" t="s">
        <v>194</v>
      </c>
      <c r="T105" s="10" t="str">
        <f t="shared" si="5"/>
        <v/>
      </c>
      <c r="U105" s="13" t="str">
        <f t="shared" si="7"/>
        <v>Not Delivered</v>
      </c>
      <c r="V105" s="15" t="str">
        <f t="shared" si="6"/>
        <v>September</v>
      </c>
    </row>
    <row r="106" spans="1:22" x14ac:dyDescent="0.25">
      <c r="A106" t="s">
        <v>244</v>
      </c>
      <c r="B106" s="4">
        <v>46240</v>
      </c>
      <c r="C106" t="s">
        <v>103</v>
      </c>
      <c r="D106" t="s">
        <v>104</v>
      </c>
      <c r="E106" t="s">
        <v>105</v>
      </c>
      <c r="F106" t="s">
        <v>136</v>
      </c>
      <c r="G106" t="s">
        <v>137</v>
      </c>
      <c r="H106" t="s">
        <v>47</v>
      </c>
      <c r="I106">
        <v>4</v>
      </c>
      <c r="J106">
        <v>650</v>
      </c>
      <c r="K106">
        <v>2600</v>
      </c>
      <c r="L106" t="s">
        <v>79</v>
      </c>
      <c r="M106" t="s">
        <v>55</v>
      </c>
      <c r="N106" t="s">
        <v>28</v>
      </c>
      <c r="O106" s="4">
        <v>46247</v>
      </c>
      <c r="P106" s="2">
        <v>46247</v>
      </c>
      <c r="Q106" t="s">
        <v>101</v>
      </c>
      <c r="T106" s="10">
        <f t="shared" si="5"/>
        <v>0</v>
      </c>
      <c r="U106" s="13" t="str">
        <f t="shared" si="7"/>
        <v>On Time</v>
      </c>
      <c r="V106" s="15" t="str">
        <f t="shared" si="6"/>
        <v>August</v>
      </c>
    </row>
    <row r="107" spans="1:22" x14ac:dyDescent="0.25">
      <c r="A107" t="s">
        <v>245</v>
      </c>
      <c r="B107" s="4">
        <v>46292</v>
      </c>
      <c r="C107" t="s">
        <v>86</v>
      </c>
      <c r="D107" t="s">
        <v>87</v>
      </c>
      <c r="E107" t="s">
        <v>88</v>
      </c>
      <c r="F107" t="s">
        <v>119</v>
      </c>
      <c r="G107" t="s">
        <v>120</v>
      </c>
      <c r="H107" t="s">
        <v>113</v>
      </c>
      <c r="I107">
        <v>4</v>
      </c>
      <c r="J107">
        <v>1400</v>
      </c>
      <c r="K107">
        <v>5600</v>
      </c>
      <c r="L107" t="s">
        <v>61</v>
      </c>
      <c r="M107" t="s">
        <v>55</v>
      </c>
      <c r="N107" t="s">
        <v>28</v>
      </c>
      <c r="O107" s="4">
        <v>46297</v>
      </c>
      <c r="P107" s="2">
        <v>46298</v>
      </c>
      <c r="Q107" t="s">
        <v>29</v>
      </c>
      <c r="T107" s="10">
        <f t="shared" si="5"/>
        <v>1</v>
      </c>
      <c r="U107" s="13" t="str">
        <f t="shared" si="7"/>
        <v>Slightly Delayed</v>
      </c>
      <c r="V107" s="15" t="str">
        <f t="shared" si="6"/>
        <v>September</v>
      </c>
    </row>
    <row r="108" spans="1:22" x14ac:dyDescent="0.25">
      <c r="A108" t="s">
        <v>246</v>
      </c>
      <c r="B108" s="4">
        <v>46252</v>
      </c>
      <c r="C108" t="s">
        <v>196</v>
      </c>
      <c r="D108" t="s">
        <v>197</v>
      </c>
      <c r="E108" t="s">
        <v>71</v>
      </c>
      <c r="F108" t="s">
        <v>141</v>
      </c>
      <c r="G108" t="s">
        <v>142</v>
      </c>
      <c r="H108" t="s">
        <v>47</v>
      </c>
      <c r="I108">
        <v>2</v>
      </c>
      <c r="J108">
        <v>1800</v>
      </c>
      <c r="K108">
        <v>3600</v>
      </c>
      <c r="L108" t="s">
        <v>74</v>
      </c>
      <c r="M108" t="s">
        <v>55</v>
      </c>
      <c r="N108" t="s">
        <v>67</v>
      </c>
      <c r="O108" s="4">
        <v>46259</v>
      </c>
      <c r="P108" s="2"/>
      <c r="Q108" t="s">
        <v>101</v>
      </c>
      <c r="T108" s="10" t="str">
        <f t="shared" si="5"/>
        <v/>
      </c>
      <c r="U108" s="13" t="str">
        <f t="shared" si="7"/>
        <v>Not Delivered</v>
      </c>
      <c r="V108" s="15" t="str">
        <f t="shared" si="6"/>
        <v>August</v>
      </c>
    </row>
    <row r="109" spans="1:22" x14ac:dyDescent="0.25">
      <c r="A109" t="s">
        <v>247</v>
      </c>
      <c r="B109" s="4">
        <v>46239</v>
      </c>
      <c r="C109" t="s">
        <v>83</v>
      </c>
      <c r="D109" t="s">
        <v>84</v>
      </c>
      <c r="E109" t="s">
        <v>71</v>
      </c>
      <c r="F109" t="s">
        <v>136</v>
      </c>
      <c r="G109" t="s">
        <v>137</v>
      </c>
      <c r="H109" t="s">
        <v>47</v>
      </c>
      <c r="I109">
        <v>4</v>
      </c>
      <c r="J109">
        <v>650</v>
      </c>
      <c r="K109">
        <v>2600</v>
      </c>
      <c r="L109" t="s">
        <v>48</v>
      </c>
      <c r="M109" t="s">
        <v>27</v>
      </c>
      <c r="N109" t="s">
        <v>67</v>
      </c>
      <c r="O109" s="4">
        <v>46242</v>
      </c>
      <c r="P109" s="2"/>
      <c r="Q109" t="s">
        <v>29</v>
      </c>
      <c r="T109" s="10" t="str">
        <f t="shared" si="5"/>
        <v/>
      </c>
      <c r="U109" s="13" t="str">
        <f t="shared" si="7"/>
        <v>Not Delivered</v>
      </c>
      <c r="V109" s="15" t="str">
        <f t="shared" si="6"/>
        <v>August</v>
      </c>
    </row>
    <row r="110" spans="1:22" x14ac:dyDescent="0.25">
      <c r="A110" t="s">
        <v>248</v>
      </c>
      <c r="B110" s="4">
        <v>46232</v>
      </c>
      <c r="C110" t="s">
        <v>83</v>
      </c>
      <c r="D110" t="s">
        <v>84</v>
      </c>
      <c r="E110" t="s">
        <v>71</v>
      </c>
      <c r="F110" t="s">
        <v>45</v>
      </c>
      <c r="G110" t="s">
        <v>46</v>
      </c>
      <c r="H110" t="s">
        <v>47</v>
      </c>
      <c r="I110">
        <v>3</v>
      </c>
      <c r="J110">
        <v>1100</v>
      </c>
      <c r="K110">
        <v>3300</v>
      </c>
      <c r="L110" t="s">
        <v>26</v>
      </c>
      <c r="M110" t="s">
        <v>55</v>
      </c>
      <c r="N110" t="s">
        <v>56</v>
      </c>
      <c r="O110" s="4">
        <v>46236</v>
      </c>
      <c r="P110" s="2">
        <v>46237</v>
      </c>
      <c r="Q110" t="s">
        <v>49</v>
      </c>
      <c r="R110" t="s">
        <v>249</v>
      </c>
      <c r="T110" s="10">
        <f t="shared" si="5"/>
        <v>1</v>
      </c>
      <c r="U110" s="13" t="str">
        <f t="shared" si="7"/>
        <v>Slightly Delayed</v>
      </c>
      <c r="V110" s="15" t="str">
        <f t="shared" si="6"/>
        <v>July</v>
      </c>
    </row>
    <row r="111" spans="1:22" x14ac:dyDescent="0.25">
      <c r="A111" t="s">
        <v>250</v>
      </c>
      <c r="B111" s="4">
        <v>46208</v>
      </c>
      <c r="C111" t="s">
        <v>69</v>
      </c>
      <c r="D111" t="s">
        <v>70</v>
      </c>
      <c r="E111" t="s">
        <v>71</v>
      </c>
      <c r="F111" t="s">
        <v>119</v>
      </c>
      <c r="G111" t="s">
        <v>120</v>
      </c>
      <c r="H111" t="s">
        <v>113</v>
      </c>
      <c r="I111">
        <v>4</v>
      </c>
      <c r="J111">
        <v>1400</v>
      </c>
      <c r="K111">
        <v>5600</v>
      </c>
      <c r="L111" t="s">
        <v>61</v>
      </c>
      <c r="M111" t="s">
        <v>55</v>
      </c>
      <c r="N111" t="s">
        <v>67</v>
      </c>
      <c r="O111" s="4">
        <v>46215</v>
      </c>
      <c r="P111" s="2"/>
      <c r="Q111" t="s">
        <v>39</v>
      </c>
      <c r="T111" s="10" t="str">
        <f t="shared" si="5"/>
        <v/>
      </c>
      <c r="U111" s="13" t="str">
        <f t="shared" si="7"/>
        <v>Not Delivered</v>
      </c>
      <c r="V111" s="15" t="str">
        <f t="shared" si="6"/>
        <v>July</v>
      </c>
    </row>
    <row r="112" spans="1:22" x14ac:dyDescent="0.25">
      <c r="A112" t="s">
        <v>251</v>
      </c>
      <c r="B112" s="4">
        <v>46226</v>
      </c>
      <c r="C112" t="s">
        <v>83</v>
      </c>
      <c r="D112" t="s">
        <v>84</v>
      </c>
      <c r="E112" t="s">
        <v>71</v>
      </c>
      <c r="F112" t="s">
        <v>111</v>
      </c>
      <c r="G112" t="s">
        <v>112</v>
      </c>
      <c r="H112" t="s">
        <v>113</v>
      </c>
      <c r="I112">
        <v>4</v>
      </c>
      <c r="J112">
        <v>1250</v>
      </c>
      <c r="K112">
        <v>5000</v>
      </c>
      <c r="L112" t="s">
        <v>74</v>
      </c>
      <c r="M112" t="s">
        <v>37</v>
      </c>
      <c r="N112" t="s">
        <v>38</v>
      </c>
      <c r="O112" s="4">
        <v>46230</v>
      </c>
      <c r="P112" s="2"/>
      <c r="Q112" t="s">
        <v>101</v>
      </c>
      <c r="S112" t="s">
        <v>40</v>
      </c>
      <c r="T112" s="10" t="str">
        <f t="shared" si="5"/>
        <v/>
      </c>
      <c r="U112" s="13" t="str">
        <f t="shared" si="7"/>
        <v>Not Delivered</v>
      </c>
      <c r="V112" s="15" t="str">
        <f t="shared" si="6"/>
        <v>July</v>
      </c>
    </row>
    <row r="113" spans="1:22" x14ac:dyDescent="0.25">
      <c r="A113" t="s">
        <v>252</v>
      </c>
      <c r="B113" s="4">
        <v>46236</v>
      </c>
      <c r="C113" t="s">
        <v>31</v>
      </c>
      <c r="D113" t="s">
        <v>32</v>
      </c>
      <c r="E113" t="s">
        <v>33</v>
      </c>
      <c r="F113" t="s">
        <v>177</v>
      </c>
      <c r="G113" t="s">
        <v>178</v>
      </c>
      <c r="H113" t="s">
        <v>113</v>
      </c>
      <c r="I113">
        <v>2</v>
      </c>
      <c r="J113">
        <v>700</v>
      </c>
      <c r="K113">
        <v>1400</v>
      </c>
      <c r="L113" t="s">
        <v>26</v>
      </c>
      <c r="M113" t="s">
        <v>55</v>
      </c>
      <c r="N113" t="s">
        <v>67</v>
      </c>
      <c r="O113" s="4">
        <v>46242</v>
      </c>
      <c r="P113" s="2"/>
      <c r="Q113" t="s">
        <v>39</v>
      </c>
      <c r="T113" s="10" t="str">
        <f t="shared" si="5"/>
        <v/>
      </c>
      <c r="U113" s="13" t="str">
        <f t="shared" si="7"/>
        <v>Not Delivered</v>
      </c>
      <c r="V113" s="15" t="str">
        <f t="shared" si="6"/>
        <v>August</v>
      </c>
    </row>
    <row r="114" spans="1:22" x14ac:dyDescent="0.25">
      <c r="A114" t="s">
        <v>253</v>
      </c>
      <c r="B114" s="4">
        <v>46232</v>
      </c>
      <c r="C114" t="s">
        <v>109</v>
      </c>
      <c r="D114" t="s">
        <v>110</v>
      </c>
      <c r="E114" t="s">
        <v>105</v>
      </c>
      <c r="F114" t="s">
        <v>97</v>
      </c>
      <c r="G114" t="s">
        <v>98</v>
      </c>
      <c r="H114" t="s">
        <v>47</v>
      </c>
      <c r="I114">
        <v>2</v>
      </c>
      <c r="J114">
        <v>1450</v>
      </c>
      <c r="K114">
        <v>2900</v>
      </c>
      <c r="L114" t="s">
        <v>26</v>
      </c>
      <c r="M114" t="s">
        <v>27</v>
      </c>
      <c r="N114" t="s">
        <v>28</v>
      </c>
      <c r="O114" s="4">
        <v>46238</v>
      </c>
      <c r="P114" s="2">
        <v>46241</v>
      </c>
      <c r="Q114" t="s">
        <v>39</v>
      </c>
      <c r="T114" s="10">
        <f t="shared" si="5"/>
        <v>3</v>
      </c>
      <c r="U114" s="13" t="str">
        <f t="shared" si="7"/>
        <v>Delayed</v>
      </c>
      <c r="V114" s="15" t="str">
        <f t="shared" si="6"/>
        <v>July</v>
      </c>
    </row>
    <row r="115" spans="1:22" x14ac:dyDescent="0.25">
      <c r="A115" t="s">
        <v>254</v>
      </c>
      <c r="B115" s="4">
        <v>46272</v>
      </c>
      <c r="C115" t="s">
        <v>157</v>
      </c>
      <c r="D115" t="s">
        <v>158</v>
      </c>
      <c r="E115" t="s">
        <v>96</v>
      </c>
      <c r="F115" t="s">
        <v>136</v>
      </c>
      <c r="G115" t="s">
        <v>137</v>
      </c>
      <c r="H115" t="s">
        <v>47</v>
      </c>
      <c r="I115">
        <v>3</v>
      </c>
      <c r="J115">
        <v>650</v>
      </c>
      <c r="K115">
        <v>1950</v>
      </c>
      <c r="L115" t="s">
        <v>26</v>
      </c>
      <c r="M115" t="s">
        <v>55</v>
      </c>
      <c r="N115" t="s">
        <v>28</v>
      </c>
      <c r="O115" s="4">
        <v>46275</v>
      </c>
      <c r="P115" s="2">
        <v>46276</v>
      </c>
      <c r="Q115" t="s">
        <v>29</v>
      </c>
      <c r="T115" s="10">
        <f t="shared" si="5"/>
        <v>1</v>
      </c>
      <c r="U115" s="13" t="str">
        <f t="shared" si="7"/>
        <v>Slightly Delayed</v>
      </c>
      <c r="V115" s="15" t="str">
        <f t="shared" si="6"/>
        <v>September</v>
      </c>
    </row>
    <row r="116" spans="1:22" x14ac:dyDescent="0.25">
      <c r="A116" t="s">
        <v>255</v>
      </c>
      <c r="B116" s="4">
        <v>46264</v>
      </c>
      <c r="C116" t="s">
        <v>184</v>
      </c>
      <c r="D116" t="s">
        <v>185</v>
      </c>
      <c r="E116" t="s">
        <v>88</v>
      </c>
      <c r="F116" t="s">
        <v>141</v>
      </c>
      <c r="G116" t="s">
        <v>142</v>
      </c>
      <c r="H116" t="s">
        <v>47</v>
      </c>
      <c r="I116">
        <v>2</v>
      </c>
      <c r="J116">
        <v>1800</v>
      </c>
      <c r="K116">
        <v>3600</v>
      </c>
      <c r="L116" t="s">
        <v>74</v>
      </c>
      <c r="M116" t="s">
        <v>27</v>
      </c>
      <c r="N116" t="s">
        <v>89</v>
      </c>
      <c r="O116" s="4">
        <v>46267</v>
      </c>
      <c r="P116" s="2"/>
      <c r="Q116" t="s">
        <v>101</v>
      </c>
      <c r="T116" s="10" t="str">
        <f t="shared" si="5"/>
        <v/>
      </c>
      <c r="U116" s="13" t="str">
        <f t="shared" si="7"/>
        <v>Not Delivered</v>
      </c>
      <c r="V116" s="15" t="str">
        <f t="shared" si="6"/>
        <v>August</v>
      </c>
    </row>
    <row r="117" spans="1:22" x14ac:dyDescent="0.25">
      <c r="A117" t="s">
        <v>256</v>
      </c>
      <c r="B117" s="4">
        <v>46285</v>
      </c>
      <c r="C117" t="s">
        <v>94</v>
      </c>
      <c r="D117" t="s">
        <v>95</v>
      </c>
      <c r="E117" t="s">
        <v>96</v>
      </c>
      <c r="F117" t="s">
        <v>45</v>
      </c>
      <c r="G117" t="s">
        <v>46</v>
      </c>
      <c r="H117" t="s">
        <v>47</v>
      </c>
      <c r="I117">
        <v>1</v>
      </c>
      <c r="J117">
        <v>1100</v>
      </c>
      <c r="K117">
        <v>1100</v>
      </c>
      <c r="L117" t="s">
        <v>26</v>
      </c>
      <c r="M117" t="s">
        <v>27</v>
      </c>
      <c r="N117" t="s">
        <v>67</v>
      </c>
      <c r="O117" s="4">
        <v>46291</v>
      </c>
      <c r="P117" s="2"/>
      <c r="Q117" t="s">
        <v>29</v>
      </c>
      <c r="T117" s="10" t="str">
        <f t="shared" si="5"/>
        <v/>
      </c>
      <c r="U117" s="13" t="str">
        <f t="shared" si="7"/>
        <v>Not Delivered</v>
      </c>
      <c r="V117" s="15" t="str">
        <f t="shared" si="6"/>
        <v>September</v>
      </c>
    </row>
    <row r="118" spans="1:22" x14ac:dyDescent="0.25">
      <c r="A118" t="s">
        <v>257</v>
      </c>
      <c r="B118" s="4">
        <v>46208</v>
      </c>
      <c r="C118" t="s">
        <v>63</v>
      </c>
      <c r="D118" t="s">
        <v>64</v>
      </c>
      <c r="E118" t="s">
        <v>353</v>
      </c>
      <c r="F118" t="s">
        <v>59</v>
      </c>
      <c r="G118" t="s">
        <v>60</v>
      </c>
      <c r="H118" t="s">
        <v>47</v>
      </c>
      <c r="I118">
        <v>1</v>
      </c>
      <c r="J118">
        <v>350</v>
      </c>
      <c r="K118">
        <v>350</v>
      </c>
      <c r="L118" t="s">
        <v>48</v>
      </c>
      <c r="M118" t="s">
        <v>55</v>
      </c>
      <c r="N118" t="s">
        <v>155</v>
      </c>
      <c r="O118" s="4">
        <v>46213</v>
      </c>
      <c r="P118" s="2"/>
      <c r="Q118" t="s">
        <v>39</v>
      </c>
      <c r="T118" s="10" t="str">
        <f t="shared" si="5"/>
        <v/>
      </c>
      <c r="U118" s="13" t="str">
        <f t="shared" si="7"/>
        <v>Not Delivered</v>
      </c>
      <c r="V118" s="15" t="str">
        <f t="shared" si="6"/>
        <v>July</v>
      </c>
    </row>
    <row r="119" spans="1:22" x14ac:dyDescent="0.25">
      <c r="A119" t="s">
        <v>258</v>
      </c>
      <c r="B119" s="4">
        <v>46253</v>
      </c>
      <c r="C119" t="s">
        <v>180</v>
      </c>
      <c r="D119" t="s">
        <v>181</v>
      </c>
      <c r="E119" t="s">
        <v>33</v>
      </c>
      <c r="F119" t="s">
        <v>23</v>
      </c>
      <c r="G119" t="s">
        <v>24</v>
      </c>
      <c r="H119" t="s">
        <v>25</v>
      </c>
      <c r="I119">
        <v>2</v>
      </c>
      <c r="J119">
        <v>120</v>
      </c>
      <c r="K119">
        <v>240</v>
      </c>
      <c r="L119" t="s">
        <v>74</v>
      </c>
      <c r="M119" t="s">
        <v>55</v>
      </c>
      <c r="N119" t="s">
        <v>67</v>
      </c>
      <c r="O119" s="4">
        <v>46259</v>
      </c>
      <c r="P119" s="2"/>
      <c r="Q119" t="s">
        <v>29</v>
      </c>
      <c r="T119" s="10" t="str">
        <f t="shared" si="5"/>
        <v/>
      </c>
      <c r="U119" s="13" t="str">
        <f t="shared" si="7"/>
        <v>Not Delivered</v>
      </c>
      <c r="V119" s="15" t="str">
        <f t="shared" si="6"/>
        <v>August</v>
      </c>
    </row>
    <row r="120" spans="1:22" x14ac:dyDescent="0.25">
      <c r="A120" t="s">
        <v>259</v>
      </c>
      <c r="B120" s="4">
        <v>46287</v>
      </c>
      <c r="C120" t="s">
        <v>86</v>
      </c>
      <c r="D120" t="s">
        <v>87</v>
      </c>
      <c r="E120" t="s">
        <v>88</v>
      </c>
      <c r="F120" t="s">
        <v>59</v>
      </c>
      <c r="G120" t="s">
        <v>60</v>
      </c>
      <c r="H120" t="s">
        <v>47</v>
      </c>
      <c r="I120">
        <v>4</v>
      </c>
      <c r="J120">
        <v>350</v>
      </c>
      <c r="K120">
        <v>1400</v>
      </c>
      <c r="L120" t="s">
        <v>74</v>
      </c>
      <c r="M120" t="s">
        <v>55</v>
      </c>
      <c r="N120" t="s">
        <v>67</v>
      </c>
      <c r="O120" s="4">
        <v>46290</v>
      </c>
      <c r="P120" s="2"/>
      <c r="Q120" t="s">
        <v>29</v>
      </c>
      <c r="T120" s="10" t="str">
        <f t="shared" si="5"/>
        <v/>
      </c>
      <c r="U120" s="13" t="str">
        <f t="shared" si="7"/>
        <v>Not Delivered</v>
      </c>
      <c r="V120" s="15" t="str">
        <f t="shared" si="6"/>
        <v>September</v>
      </c>
    </row>
    <row r="121" spans="1:22" x14ac:dyDescent="0.25">
      <c r="A121" t="s">
        <v>261</v>
      </c>
      <c r="B121" s="4">
        <v>46231</v>
      </c>
      <c r="C121" t="s">
        <v>103</v>
      </c>
      <c r="D121" t="s">
        <v>104</v>
      </c>
      <c r="E121" t="s">
        <v>105</v>
      </c>
      <c r="F121" t="s">
        <v>53</v>
      </c>
      <c r="G121" t="s">
        <v>54</v>
      </c>
      <c r="H121" t="s">
        <v>47</v>
      </c>
      <c r="I121">
        <v>3</v>
      </c>
      <c r="J121">
        <v>850</v>
      </c>
      <c r="K121">
        <v>2550</v>
      </c>
      <c r="L121" t="s">
        <v>26</v>
      </c>
      <c r="M121" t="s">
        <v>55</v>
      </c>
      <c r="N121" t="s">
        <v>28</v>
      </c>
      <c r="O121" s="4">
        <v>46237</v>
      </c>
      <c r="P121" s="2">
        <v>46238</v>
      </c>
      <c r="Q121" t="s">
        <v>39</v>
      </c>
      <c r="T121" s="10">
        <f t="shared" si="5"/>
        <v>1</v>
      </c>
      <c r="U121" s="13" t="str">
        <f t="shared" si="7"/>
        <v>Slightly Delayed</v>
      </c>
      <c r="V121" s="15" t="str">
        <f t="shared" si="6"/>
        <v>July</v>
      </c>
    </row>
    <row r="122" spans="1:22" x14ac:dyDescent="0.25">
      <c r="A122" t="s">
        <v>262</v>
      </c>
      <c r="B122" s="4">
        <v>46211</v>
      </c>
      <c r="C122" t="s">
        <v>184</v>
      </c>
      <c r="D122" t="s">
        <v>185</v>
      </c>
      <c r="E122" t="s">
        <v>88</v>
      </c>
      <c r="F122" t="s">
        <v>23</v>
      </c>
      <c r="G122" t="s">
        <v>24</v>
      </c>
      <c r="H122" t="s">
        <v>25</v>
      </c>
      <c r="I122">
        <v>3</v>
      </c>
      <c r="J122">
        <v>120</v>
      </c>
      <c r="K122">
        <v>360</v>
      </c>
      <c r="L122" t="s">
        <v>48</v>
      </c>
      <c r="M122" t="s">
        <v>55</v>
      </c>
      <c r="N122" t="s">
        <v>28</v>
      </c>
      <c r="O122" s="4">
        <v>46217</v>
      </c>
      <c r="P122" s="2">
        <v>46217</v>
      </c>
      <c r="Q122" t="s">
        <v>29</v>
      </c>
      <c r="T122" s="10">
        <f t="shared" si="5"/>
        <v>0</v>
      </c>
      <c r="U122" s="13" t="str">
        <f t="shared" si="7"/>
        <v>On Time</v>
      </c>
      <c r="V122" s="15" t="str">
        <f t="shared" si="6"/>
        <v>July</v>
      </c>
    </row>
    <row r="123" spans="1:22" x14ac:dyDescent="0.25">
      <c r="A123" t="s">
        <v>263</v>
      </c>
      <c r="B123" s="4">
        <v>46210</v>
      </c>
      <c r="C123" t="s">
        <v>51</v>
      </c>
      <c r="D123" t="s">
        <v>52</v>
      </c>
      <c r="E123" t="s">
        <v>44</v>
      </c>
      <c r="F123" t="s">
        <v>106</v>
      </c>
      <c r="G123" t="s">
        <v>107</v>
      </c>
      <c r="H123" t="s">
        <v>47</v>
      </c>
      <c r="I123">
        <v>1</v>
      </c>
      <c r="J123">
        <v>2500</v>
      </c>
      <c r="K123">
        <v>2500</v>
      </c>
      <c r="L123" t="s">
        <v>74</v>
      </c>
      <c r="M123" t="s">
        <v>55</v>
      </c>
      <c r="N123" t="s">
        <v>28</v>
      </c>
      <c r="O123" s="4">
        <v>46215</v>
      </c>
      <c r="P123" s="2">
        <v>46215</v>
      </c>
      <c r="Q123" t="s">
        <v>49</v>
      </c>
      <c r="T123" s="10">
        <f t="shared" si="5"/>
        <v>0</v>
      </c>
      <c r="U123" s="13" t="str">
        <f t="shared" si="7"/>
        <v>On Time</v>
      </c>
      <c r="V123" s="15" t="str">
        <f t="shared" si="6"/>
        <v>July</v>
      </c>
    </row>
    <row r="124" spans="1:22" x14ac:dyDescent="0.25">
      <c r="A124" t="s">
        <v>264</v>
      </c>
      <c r="B124" s="4">
        <v>46279</v>
      </c>
      <c r="C124" t="s">
        <v>51</v>
      </c>
      <c r="D124" t="s">
        <v>52</v>
      </c>
      <c r="E124" t="s">
        <v>44</v>
      </c>
      <c r="F124" t="s">
        <v>23</v>
      </c>
      <c r="G124" t="s">
        <v>24</v>
      </c>
      <c r="H124" t="s">
        <v>25</v>
      </c>
      <c r="I124">
        <v>2</v>
      </c>
      <c r="J124">
        <v>120</v>
      </c>
      <c r="K124">
        <v>240</v>
      </c>
      <c r="L124" t="s">
        <v>26</v>
      </c>
      <c r="M124" t="s">
        <v>55</v>
      </c>
      <c r="N124" t="s">
        <v>28</v>
      </c>
      <c r="O124" s="4">
        <v>46283</v>
      </c>
      <c r="P124" s="2">
        <v>46286</v>
      </c>
      <c r="Q124" t="s">
        <v>49</v>
      </c>
      <c r="T124" s="10">
        <f t="shared" si="5"/>
        <v>3</v>
      </c>
      <c r="U124" s="13" t="str">
        <f t="shared" si="7"/>
        <v>Delayed</v>
      </c>
      <c r="V124" s="15" t="str">
        <f t="shared" si="6"/>
        <v>September</v>
      </c>
    </row>
    <row r="125" spans="1:22" x14ac:dyDescent="0.25">
      <c r="A125" t="s">
        <v>265</v>
      </c>
      <c r="B125" s="4">
        <v>46222</v>
      </c>
      <c r="C125" t="s">
        <v>94</v>
      </c>
      <c r="D125" t="s">
        <v>95</v>
      </c>
      <c r="E125" t="s">
        <v>96</v>
      </c>
      <c r="F125" t="s">
        <v>136</v>
      </c>
      <c r="G125" t="s">
        <v>137</v>
      </c>
      <c r="H125" t="s">
        <v>47</v>
      </c>
      <c r="I125">
        <v>3</v>
      </c>
      <c r="J125">
        <v>650</v>
      </c>
      <c r="K125">
        <v>1950</v>
      </c>
      <c r="L125" t="s">
        <v>61</v>
      </c>
      <c r="M125" t="s">
        <v>55</v>
      </c>
      <c r="N125" t="s">
        <v>28</v>
      </c>
      <c r="O125" s="4">
        <v>46226</v>
      </c>
      <c r="P125" s="2">
        <v>46227</v>
      </c>
      <c r="Q125" t="s">
        <v>39</v>
      </c>
      <c r="T125" s="10">
        <f t="shared" si="5"/>
        <v>1</v>
      </c>
      <c r="U125" s="13" t="str">
        <f t="shared" si="7"/>
        <v>Slightly Delayed</v>
      </c>
      <c r="V125" s="15" t="str">
        <f t="shared" si="6"/>
        <v>July</v>
      </c>
    </row>
    <row r="126" spans="1:22" x14ac:dyDescent="0.25">
      <c r="A126" t="s">
        <v>266</v>
      </c>
      <c r="B126" s="4">
        <v>46249</v>
      </c>
      <c r="C126" t="s">
        <v>206</v>
      </c>
      <c r="D126" t="s">
        <v>207</v>
      </c>
      <c r="E126" t="s">
        <v>105</v>
      </c>
      <c r="F126" t="s">
        <v>59</v>
      </c>
      <c r="G126" t="s">
        <v>60</v>
      </c>
      <c r="H126" t="s">
        <v>47</v>
      </c>
      <c r="I126">
        <v>1</v>
      </c>
      <c r="J126">
        <v>350</v>
      </c>
      <c r="K126">
        <v>350</v>
      </c>
      <c r="L126" t="s">
        <v>26</v>
      </c>
      <c r="M126" t="s">
        <v>27</v>
      </c>
      <c r="N126" t="s">
        <v>100</v>
      </c>
      <c r="O126" s="4">
        <v>46253</v>
      </c>
      <c r="P126" s="2"/>
      <c r="Q126" t="s">
        <v>39</v>
      </c>
      <c r="T126" s="10" t="str">
        <f t="shared" si="5"/>
        <v/>
      </c>
      <c r="U126" s="13" t="str">
        <f t="shared" si="7"/>
        <v>Not Delivered</v>
      </c>
      <c r="V126" s="15" t="str">
        <f t="shared" si="6"/>
        <v>August</v>
      </c>
    </row>
    <row r="127" spans="1:22" x14ac:dyDescent="0.25">
      <c r="A127" t="s">
        <v>267</v>
      </c>
      <c r="B127" s="4">
        <v>46220</v>
      </c>
      <c r="C127" t="s">
        <v>139</v>
      </c>
      <c r="D127" t="s">
        <v>140</v>
      </c>
      <c r="E127" t="s">
        <v>96</v>
      </c>
      <c r="F127" t="s">
        <v>177</v>
      </c>
      <c r="G127" t="s">
        <v>178</v>
      </c>
      <c r="H127" t="s">
        <v>113</v>
      </c>
      <c r="I127">
        <v>1</v>
      </c>
      <c r="J127">
        <v>700</v>
      </c>
      <c r="K127">
        <v>700</v>
      </c>
      <c r="L127" t="s">
        <v>48</v>
      </c>
      <c r="M127" t="s">
        <v>27</v>
      </c>
      <c r="N127" t="s">
        <v>67</v>
      </c>
      <c r="O127" s="4">
        <v>46226</v>
      </c>
      <c r="P127" s="2"/>
      <c r="Q127" t="s">
        <v>39</v>
      </c>
      <c r="T127" s="10" t="str">
        <f t="shared" si="5"/>
        <v/>
      </c>
      <c r="U127" s="13" t="str">
        <f t="shared" si="7"/>
        <v>Not Delivered</v>
      </c>
      <c r="V127" s="15" t="str">
        <f t="shared" si="6"/>
        <v>July</v>
      </c>
    </row>
    <row r="128" spans="1:22" x14ac:dyDescent="0.25">
      <c r="A128" t="s">
        <v>268</v>
      </c>
      <c r="B128" s="4">
        <v>46269</v>
      </c>
      <c r="C128" t="s">
        <v>196</v>
      </c>
      <c r="D128" t="s">
        <v>197</v>
      </c>
      <c r="E128" t="s">
        <v>71</v>
      </c>
      <c r="F128" t="s">
        <v>34</v>
      </c>
      <c r="G128" t="s">
        <v>35</v>
      </c>
      <c r="H128" t="s">
        <v>36</v>
      </c>
      <c r="I128">
        <v>3</v>
      </c>
      <c r="J128">
        <v>3200</v>
      </c>
      <c r="K128">
        <v>9600</v>
      </c>
      <c r="L128" t="s">
        <v>74</v>
      </c>
      <c r="M128" t="s">
        <v>55</v>
      </c>
      <c r="N128" t="s">
        <v>28</v>
      </c>
      <c r="O128" s="4">
        <v>46276</v>
      </c>
      <c r="P128" s="2">
        <v>46275</v>
      </c>
      <c r="Q128" t="s">
        <v>49</v>
      </c>
      <c r="T128" s="10">
        <f t="shared" si="5"/>
        <v>-1</v>
      </c>
      <c r="U128" s="13" t="str">
        <f t="shared" si="7"/>
        <v>On Time</v>
      </c>
      <c r="V128" s="15" t="str">
        <f t="shared" si="6"/>
        <v>September</v>
      </c>
    </row>
    <row r="129" spans="1:22" x14ac:dyDescent="0.25">
      <c r="A129" t="s">
        <v>269</v>
      </c>
      <c r="B129" s="4">
        <v>46262</v>
      </c>
      <c r="C129" t="s">
        <v>94</v>
      </c>
      <c r="D129" t="s">
        <v>95</v>
      </c>
      <c r="E129" t="s">
        <v>96</v>
      </c>
      <c r="F129" t="s">
        <v>53</v>
      </c>
      <c r="G129" t="s">
        <v>54</v>
      </c>
      <c r="H129" t="s">
        <v>47</v>
      </c>
      <c r="I129">
        <v>3</v>
      </c>
      <c r="J129">
        <v>850</v>
      </c>
      <c r="K129">
        <v>2550</v>
      </c>
      <c r="L129" t="s">
        <v>79</v>
      </c>
      <c r="M129" t="s">
        <v>55</v>
      </c>
      <c r="N129" t="s">
        <v>28</v>
      </c>
      <c r="O129" s="4">
        <v>46265</v>
      </c>
      <c r="P129" s="2">
        <v>46264</v>
      </c>
      <c r="Q129" t="s">
        <v>29</v>
      </c>
      <c r="T129" s="10">
        <f t="shared" si="5"/>
        <v>-1</v>
      </c>
      <c r="U129" s="13" t="str">
        <f t="shared" si="7"/>
        <v>On Time</v>
      </c>
      <c r="V129" s="15" t="str">
        <f t="shared" si="6"/>
        <v>August</v>
      </c>
    </row>
    <row r="130" spans="1:22" x14ac:dyDescent="0.25">
      <c r="A130" t="s">
        <v>270</v>
      </c>
      <c r="B130" s="4">
        <v>46213</v>
      </c>
      <c r="C130" t="s">
        <v>63</v>
      </c>
      <c r="D130" t="s">
        <v>64</v>
      </c>
      <c r="E130" t="s">
        <v>353</v>
      </c>
      <c r="F130" t="s">
        <v>233</v>
      </c>
      <c r="G130" t="s">
        <v>234</v>
      </c>
      <c r="H130" t="s">
        <v>36</v>
      </c>
      <c r="I130">
        <v>4</v>
      </c>
      <c r="J130">
        <v>750</v>
      </c>
      <c r="K130">
        <v>3000</v>
      </c>
      <c r="L130" t="s">
        <v>61</v>
      </c>
      <c r="M130" t="s">
        <v>27</v>
      </c>
      <c r="N130" t="s">
        <v>28</v>
      </c>
      <c r="O130" s="4">
        <v>46216</v>
      </c>
      <c r="P130" s="2">
        <v>46216</v>
      </c>
      <c r="Q130" t="s">
        <v>39</v>
      </c>
      <c r="T130" s="10">
        <f t="shared" si="5"/>
        <v>0</v>
      </c>
      <c r="U130" s="13" t="str">
        <f t="shared" ref="U130:U161" si="8">IF(T130="","Not Delivered",IF(T130&lt;=0,"On Time",IF(T130&lt;=2,"Slightly Delayed","Delayed")))</f>
        <v>On Time</v>
      </c>
      <c r="V130" s="15" t="str">
        <f t="shared" si="6"/>
        <v>July</v>
      </c>
    </row>
    <row r="131" spans="1:22" x14ac:dyDescent="0.25">
      <c r="A131" t="s">
        <v>271</v>
      </c>
      <c r="B131" s="4">
        <v>46252</v>
      </c>
      <c r="C131" t="s">
        <v>76</v>
      </c>
      <c r="D131" t="s">
        <v>77</v>
      </c>
      <c r="E131" t="s">
        <v>88</v>
      </c>
      <c r="F131" t="s">
        <v>177</v>
      </c>
      <c r="G131" t="s">
        <v>178</v>
      </c>
      <c r="H131" t="s">
        <v>113</v>
      </c>
      <c r="I131">
        <v>3</v>
      </c>
      <c r="J131">
        <v>700</v>
      </c>
      <c r="K131">
        <v>2100</v>
      </c>
      <c r="L131" t="s">
        <v>79</v>
      </c>
      <c r="M131" t="s">
        <v>55</v>
      </c>
      <c r="N131" t="s">
        <v>28</v>
      </c>
      <c r="O131" s="4">
        <v>46259</v>
      </c>
      <c r="P131" s="2">
        <v>46260</v>
      </c>
      <c r="Q131" t="s">
        <v>29</v>
      </c>
      <c r="T131" s="10">
        <f t="shared" ref="T131:T194" si="9">IF(P131="","",P131-O131)</f>
        <v>1</v>
      </c>
      <c r="U131" s="13" t="str">
        <f t="shared" si="8"/>
        <v>Slightly Delayed</v>
      </c>
      <c r="V131" s="15" t="str">
        <f t="shared" ref="V131:V194" si="10">TEXT(B131,"mmmm")</f>
        <v>August</v>
      </c>
    </row>
    <row r="132" spans="1:22" x14ac:dyDescent="0.25">
      <c r="A132" t="s">
        <v>272</v>
      </c>
      <c r="B132" s="4">
        <v>46259</v>
      </c>
      <c r="C132" t="s">
        <v>63</v>
      </c>
      <c r="D132" t="s">
        <v>64</v>
      </c>
      <c r="E132" t="s">
        <v>353</v>
      </c>
      <c r="F132" t="s">
        <v>141</v>
      </c>
      <c r="G132" t="s">
        <v>142</v>
      </c>
      <c r="H132" t="s">
        <v>47</v>
      </c>
      <c r="I132">
        <v>2</v>
      </c>
      <c r="J132">
        <v>1800</v>
      </c>
      <c r="K132">
        <v>3600</v>
      </c>
      <c r="L132" t="s">
        <v>26</v>
      </c>
      <c r="M132" t="s">
        <v>55</v>
      </c>
      <c r="N132" t="s">
        <v>28</v>
      </c>
      <c r="O132" s="4">
        <v>46265</v>
      </c>
      <c r="P132" s="2">
        <v>46265</v>
      </c>
      <c r="Q132" t="s">
        <v>29</v>
      </c>
      <c r="T132" s="10">
        <f t="shared" si="9"/>
        <v>0</v>
      </c>
      <c r="U132" s="13" t="str">
        <f t="shared" si="8"/>
        <v>On Time</v>
      </c>
      <c r="V132" s="15" t="str">
        <f t="shared" si="10"/>
        <v>August</v>
      </c>
    </row>
    <row r="133" spans="1:22" x14ac:dyDescent="0.25">
      <c r="A133" t="s">
        <v>273</v>
      </c>
      <c r="B133" s="4">
        <v>46244</v>
      </c>
      <c r="C133" t="s">
        <v>157</v>
      </c>
      <c r="D133" t="s">
        <v>158</v>
      </c>
      <c r="E133" t="s">
        <v>96</v>
      </c>
      <c r="F133" t="s">
        <v>65</v>
      </c>
      <c r="G133" t="s">
        <v>66</v>
      </c>
      <c r="H133" t="s">
        <v>36</v>
      </c>
      <c r="I133">
        <v>1</v>
      </c>
      <c r="J133">
        <v>500</v>
      </c>
      <c r="K133">
        <v>500</v>
      </c>
      <c r="L133" t="s">
        <v>26</v>
      </c>
      <c r="M133" t="s">
        <v>27</v>
      </c>
      <c r="N133" t="s">
        <v>28</v>
      </c>
      <c r="O133" s="4">
        <v>46250</v>
      </c>
      <c r="P133" s="2">
        <v>46250</v>
      </c>
      <c r="Q133" t="s">
        <v>101</v>
      </c>
      <c r="T133" s="10">
        <f t="shared" si="9"/>
        <v>0</v>
      </c>
      <c r="U133" s="13" t="str">
        <f t="shared" si="8"/>
        <v>On Time</v>
      </c>
      <c r="V133" s="15" t="str">
        <f t="shared" si="10"/>
        <v>August</v>
      </c>
    </row>
    <row r="134" spans="1:22" x14ac:dyDescent="0.25">
      <c r="A134" t="s">
        <v>274</v>
      </c>
      <c r="B134" s="4">
        <v>46215</v>
      </c>
      <c r="C134" t="s">
        <v>76</v>
      </c>
      <c r="D134" t="s">
        <v>77</v>
      </c>
      <c r="E134" t="s">
        <v>88</v>
      </c>
      <c r="F134" t="s">
        <v>233</v>
      </c>
      <c r="G134" t="s">
        <v>234</v>
      </c>
      <c r="H134" t="s">
        <v>36</v>
      </c>
      <c r="I134">
        <v>1</v>
      </c>
      <c r="J134">
        <v>750</v>
      </c>
      <c r="K134">
        <v>750</v>
      </c>
      <c r="L134" t="s">
        <v>48</v>
      </c>
      <c r="M134" t="s">
        <v>55</v>
      </c>
      <c r="N134" t="s">
        <v>28</v>
      </c>
      <c r="O134" s="4">
        <v>46218</v>
      </c>
      <c r="P134" s="2">
        <v>46217</v>
      </c>
      <c r="Q134" t="s">
        <v>101</v>
      </c>
      <c r="T134" s="10">
        <f t="shared" si="9"/>
        <v>-1</v>
      </c>
      <c r="U134" s="13" t="str">
        <f t="shared" si="8"/>
        <v>On Time</v>
      </c>
      <c r="V134" s="15" t="str">
        <f t="shared" si="10"/>
        <v>July</v>
      </c>
    </row>
    <row r="135" spans="1:22" x14ac:dyDescent="0.25">
      <c r="A135" t="s">
        <v>275</v>
      </c>
      <c r="B135" s="4">
        <v>46279</v>
      </c>
      <c r="C135" t="s">
        <v>76</v>
      </c>
      <c r="D135" t="s">
        <v>77</v>
      </c>
      <c r="E135" t="s">
        <v>88</v>
      </c>
      <c r="F135" t="s">
        <v>23</v>
      </c>
      <c r="G135" t="s">
        <v>24</v>
      </c>
      <c r="H135" t="s">
        <v>25</v>
      </c>
      <c r="I135">
        <v>1</v>
      </c>
      <c r="J135">
        <v>120</v>
      </c>
      <c r="K135">
        <v>120</v>
      </c>
      <c r="L135" t="s">
        <v>26</v>
      </c>
      <c r="M135" t="s">
        <v>27</v>
      </c>
      <c r="N135" t="s">
        <v>67</v>
      </c>
      <c r="O135" s="4">
        <v>46286</v>
      </c>
      <c r="P135" s="2"/>
      <c r="Q135" t="s">
        <v>39</v>
      </c>
      <c r="T135" s="10" t="str">
        <f t="shared" si="9"/>
        <v/>
      </c>
      <c r="U135" s="13" t="str">
        <f t="shared" si="8"/>
        <v>Not Delivered</v>
      </c>
      <c r="V135" s="15" t="str">
        <f t="shared" si="10"/>
        <v>September</v>
      </c>
    </row>
    <row r="136" spans="1:22" x14ac:dyDescent="0.25">
      <c r="A136" t="s">
        <v>276</v>
      </c>
      <c r="B136" s="4">
        <v>46210</v>
      </c>
      <c r="C136" t="s">
        <v>129</v>
      </c>
      <c r="D136" t="s">
        <v>130</v>
      </c>
      <c r="E136" t="s">
        <v>22</v>
      </c>
      <c r="F136" t="s">
        <v>133</v>
      </c>
      <c r="G136" t="s">
        <v>134</v>
      </c>
      <c r="H136" t="s">
        <v>113</v>
      </c>
      <c r="I136">
        <v>4</v>
      </c>
      <c r="J136">
        <v>2200</v>
      </c>
      <c r="K136">
        <v>8800</v>
      </c>
      <c r="L136" t="s">
        <v>26</v>
      </c>
      <c r="M136" t="s">
        <v>55</v>
      </c>
      <c r="N136" t="s">
        <v>56</v>
      </c>
      <c r="O136" s="4">
        <v>46215</v>
      </c>
      <c r="P136" s="2">
        <v>46216</v>
      </c>
      <c r="Q136" t="s">
        <v>101</v>
      </c>
      <c r="R136" t="s">
        <v>249</v>
      </c>
      <c r="T136" s="10">
        <f t="shared" si="9"/>
        <v>1</v>
      </c>
      <c r="U136" s="13" t="str">
        <f t="shared" si="8"/>
        <v>Slightly Delayed</v>
      </c>
      <c r="V136" s="15" t="str">
        <f t="shared" si="10"/>
        <v>July</v>
      </c>
    </row>
    <row r="137" spans="1:22" x14ac:dyDescent="0.25">
      <c r="A137" t="s">
        <v>277</v>
      </c>
      <c r="B137" s="4">
        <v>46223</v>
      </c>
      <c r="C137" t="s">
        <v>86</v>
      </c>
      <c r="D137" t="s">
        <v>87</v>
      </c>
      <c r="E137" t="s">
        <v>88</v>
      </c>
      <c r="F137" t="s">
        <v>91</v>
      </c>
      <c r="G137" t="s">
        <v>92</v>
      </c>
      <c r="H137" t="s">
        <v>25</v>
      </c>
      <c r="I137">
        <v>2</v>
      </c>
      <c r="J137">
        <v>180</v>
      </c>
      <c r="K137">
        <v>360</v>
      </c>
      <c r="L137" t="s">
        <v>48</v>
      </c>
      <c r="M137" t="s">
        <v>55</v>
      </c>
      <c r="N137" t="s">
        <v>100</v>
      </c>
      <c r="O137" s="4">
        <v>46229</v>
      </c>
      <c r="P137" s="2"/>
      <c r="Q137" t="s">
        <v>101</v>
      </c>
      <c r="T137" s="10" t="str">
        <f t="shared" si="9"/>
        <v/>
      </c>
      <c r="U137" s="13" t="str">
        <f t="shared" si="8"/>
        <v>Not Delivered</v>
      </c>
      <c r="V137" s="15" t="str">
        <f t="shared" si="10"/>
        <v>July</v>
      </c>
    </row>
    <row r="138" spans="1:22" x14ac:dyDescent="0.25">
      <c r="A138" t="s">
        <v>278</v>
      </c>
      <c r="B138" s="4">
        <v>46239</v>
      </c>
      <c r="C138" t="s">
        <v>42</v>
      </c>
      <c r="D138" t="s">
        <v>43</v>
      </c>
      <c r="E138" t="s">
        <v>44</v>
      </c>
      <c r="F138" t="s">
        <v>133</v>
      </c>
      <c r="G138" t="s">
        <v>134</v>
      </c>
      <c r="H138" t="s">
        <v>113</v>
      </c>
      <c r="I138">
        <v>1</v>
      </c>
      <c r="J138">
        <v>2200</v>
      </c>
      <c r="K138">
        <v>2200</v>
      </c>
      <c r="L138" t="s">
        <v>74</v>
      </c>
      <c r="M138" t="s">
        <v>55</v>
      </c>
      <c r="N138" t="s">
        <v>28</v>
      </c>
      <c r="O138" s="4">
        <v>46246</v>
      </c>
      <c r="P138" s="2">
        <v>46246</v>
      </c>
      <c r="Q138" t="s">
        <v>39</v>
      </c>
      <c r="T138" s="10">
        <f t="shared" si="9"/>
        <v>0</v>
      </c>
      <c r="U138" s="13" t="str">
        <f t="shared" si="8"/>
        <v>On Time</v>
      </c>
      <c r="V138" s="15" t="str">
        <f t="shared" si="10"/>
        <v>August</v>
      </c>
    </row>
    <row r="139" spans="1:22" x14ac:dyDescent="0.25">
      <c r="A139" t="s">
        <v>279</v>
      </c>
      <c r="B139" s="4">
        <v>46227</v>
      </c>
      <c r="C139" t="s">
        <v>94</v>
      </c>
      <c r="D139" t="s">
        <v>95</v>
      </c>
      <c r="E139" t="s">
        <v>96</v>
      </c>
      <c r="F139" t="s">
        <v>177</v>
      </c>
      <c r="G139" t="s">
        <v>178</v>
      </c>
      <c r="H139" t="s">
        <v>113</v>
      </c>
      <c r="I139">
        <v>1</v>
      </c>
      <c r="J139">
        <v>700</v>
      </c>
      <c r="K139">
        <v>700</v>
      </c>
      <c r="L139" t="s">
        <v>26</v>
      </c>
      <c r="M139" t="s">
        <v>203</v>
      </c>
      <c r="N139" t="s">
        <v>38</v>
      </c>
      <c r="O139" s="4">
        <v>46232</v>
      </c>
      <c r="P139" s="2"/>
      <c r="Q139" t="s">
        <v>101</v>
      </c>
      <c r="S139" t="s">
        <v>280</v>
      </c>
      <c r="T139" s="10" t="str">
        <f t="shared" si="9"/>
        <v/>
      </c>
      <c r="U139" s="13" t="str">
        <f t="shared" si="8"/>
        <v>Not Delivered</v>
      </c>
      <c r="V139" s="15" t="str">
        <f t="shared" si="10"/>
        <v>July</v>
      </c>
    </row>
    <row r="140" spans="1:22" x14ac:dyDescent="0.25">
      <c r="A140" t="s">
        <v>281</v>
      </c>
      <c r="B140" s="4">
        <v>46276</v>
      </c>
      <c r="C140" t="s">
        <v>206</v>
      </c>
      <c r="D140" t="s">
        <v>207</v>
      </c>
      <c r="E140" t="s">
        <v>105</v>
      </c>
      <c r="F140" t="s">
        <v>116</v>
      </c>
      <c r="G140" t="s">
        <v>117</v>
      </c>
      <c r="H140" t="s">
        <v>47</v>
      </c>
      <c r="I140">
        <v>2</v>
      </c>
      <c r="J140">
        <v>1200</v>
      </c>
      <c r="K140">
        <v>2400</v>
      </c>
      <c r="L140" t="s">
        <v>61</v>
      </c>
      <c r="M140" t="s">
        <v>55</v>
      </c>
      <c r="N140" t="s">
        <v>155</v>
      </c>
      <c r="O140" s="4">
        <v>46282</v>
      </c>
      <c r="P140" s="2"/>
      <c r="Q140" t="s">
        <v>39</v>
      </c>
      <c r="T140" s="10" t="str">
        <f t="shared" si="9"/>
        <v/>
      </c>
      <c r="U140" s="13" t="str">
        <f t="shared" si="8"/>
        <v>Not Delivered</v>
      </c>
      <c r="V140" s="15" t="str">
        <f t="shared" si="10"/>
        <v>September</v>
      </c>
    </row>
    <row r="141" spans="1:22" x14ac:dyDescent="0.25">
      <c r="A141" t="s">
        <v>282</v>
      </c>
      <c r="B141" s="4">
        <v>46252</v>
      </c>
      <c r="C141" t="s">
        <v>51</v>
      </c>
      <c r="D141" t="s">
        <v>52</v>
      </c>
      <c r="E141" t="s">
        <v>44</v>
      </c>
      <c r="F141" t="s">
        <v>91</v>
      </c>
      <c r="G141" t="s">
        <v>92</v>
      </c>
      <c r="H141" t="s">
        <v>25</v>
      </c>
      <c r="I141">
        <v>2</v>
      </c>
      <c r="J141">
        <v>180</v>
      </c>
      <c r="K141">
        <v>360</v>
      </c>
      <c r="L141" t="s">
        <v>61</v>
      </c>
      <c r="M141" t="s">
        <v>55</v>
      </c>
      <c r="N141" t="s">
        <v>28</v>
      </c>
      <c r="O141" s="4">
        <v>46258</v>
      </c>
      <c r="P141" s="2">
        <v>46259</v>
      </c>
      <c r="Q141" t="s">
        <v>101</v>
      </c>
      <c r="T141" s="10">
        <f t="shared" si="9"/>
        <v>1</v>
      </c>
      <c r="U141" s="13" t="str">
        <f t="shared" si="8"/>
        <v>Slightly Delayed</v>
      </c>
      <c r="V141" s="15" t="str">
        <f t="shared" si="10"/>
        <v>August</v>
      </c>
    </row>
    <row r="142" spans="1:22" x14ac:dyDescent="0.25">
      <c r="A142" t="s">
        <v>283</v>
      </c>
      <c r="B142" s="4">
        <v>46210</v>
      </c>
      <c r="C142" t="s">
        <v>83</v>
      </c>
      <c r="D142" t="s">
        <v>84</v>
      </c>
      <c r="E142" t="s">
        <v>71</v>
      </c>
      <c r="F142" t="s">
        <v>111</v>
      </c>
      <c r="G142" t="s">
        <v>112</v>
      </c>
      <c r="H142" t="s">
        <v>113</v>
      </c>
      <c r="I142">
        <v>1</v>
      </c>
      <c r="J142">
        <v>1250</v>
      </c>
      <c r="K142">
        <v>1250</v>
      </c>
      <c r="L142" t="s">
        <v>48</v>
      </c>
      <c r="M142" t="s">
        <v>27</v>
      </c>
      <c r="N142" t="s">
        <v>28</v>
      </c>
      <c r="O142" s="4">
        <v>46214</v>
      </c>
      <c r="P142" s="2">
        <v>46214</v>
      </c>
      <c r="Q142" t="s">
        <v>39</v>
      </c>
      <c r="T142" s="10">
        <f t="shared" si="9"/>
        <v>0</v>
      </c>
      <c r="U142" s="13" t="str">
        <f t="shared" si="8"/>
        <v>On Time</v>
      </c>
      <c r="V142" s="15" t="str">
        <f t="shared" si="10"/>
        <v>July</v>
      </c>
    </row>
    <row r="143" spans="1:22" x14ac:dyDescent="0.25">
      <c r="A143" t="s">
        <v>284</v>
      </c>
      <c r="B143" s="4">
        <v>46266</v>
      </c>
      <c r="C143" t="s">
        <v>103</v>
      </c>
      <c r="D143" t="s">
        <v>104</v>
      </c>
      <c r="E143" t="s">
        <v>105</v>
      </c>
      <c r="F143" t="s">
        <v>34</v>
      </c>
      <c r="G143" t="s">
        <v>35</v>
      </c>
      <c r="H143" t="s">
        <v>36</v>
      </c>
      <c r="I143">
        <v>4</v>
      </c>
      <c r="J143">
        <v>3200</v>
      </c>
      <c r="K143">
        <v>12800</v>
      </c>
      <c r="L143" t="s">
        <v>79</v>
      </c>
      <c r="M143" t="s">
        <v>55</v>
      </c>
      <c r="N143" t="s">
        <v>155</v>
      </c>
      <c r="O143" s="4">
        <v>46273</v>
      </c>
      <c r="P143" s="2"/>
      <c r="Q143" t="s">
        <v>101</v>
      </c>
      <c r="T143" s="10" t="str">
        <f t="shared" si="9"/>
        <v/>
      </c>
      <c r="U143" s="13" t="str">
        <f t="shared" si="8"/>
        <v>Not Delivered</v>
      </c>
      <c r="V143" s="15" t="str">
        <f t="shared" si="10"/>
        <v>September</v>
      </c>
    </row>
    <row r="144" spans="1:22" x14ac:dyDescent="0.25">
      <c r="A144" t="s">
        <v>285</v>
      </c>
      <c r="B144" s="4">
        <v>46248</v>
      </c>
      <c r="C144" t="s">
        <v>20</v>
      </c>
      <c r="D144" t="s">
        <v>21</v>
      </c>
      <c r="E144" t="s">
        <v>22</v>
      </c>
      <c r="F144" t="s">
        <v>91</v>
      </c>
      <c r="G144" t="s">
        <v>92</v>
      </c>
      <c r="H144" t="s">
        <v>25</v>
      </c>
      <c r="I144">
        <v>1</v>
      </c>
      <c r="J144">
        <v>180</v>
      </c>
      <c r="K144">
        <v>180</v>
      </c>
      <c r="L144" t="s">
        <v>74</v>
      </c>
      <c r="M144" t="s">
        <v>55</v>
      </c>
      <c r="N144" t="s">
        <v>28</v>
      </c>
      <c r="O144" s="4">
        <v>46254</v>
      </c>
      <c r="P144" s="2">
        <v>46253</v>
      </c>
      <c r="Q144" t="s">
        <v>29</v>
      </c>
      <c r="T144" s="10">
        <f t="shared" si="9"/>
        <v>-1</v>
      </c>
      <c r="U144" s="13" t="str">
        <f t="shared" si="8"/>
        <v>On Time</v>
      </c>
      <c r="V144" s="15" t="str">
        <f t="shared" si="10"/>
        <v>August</v>
      </c>
    </row>
    <row r="145" spans="1:22" x14ac:dyDescent="0.25">
      <c r="A145" t="s">
        <v>286</v>
      </c>
      <c r="B145" s="4">
        <v>46232</v>
      </c>
      <c r="C145" t="s">
        <v>31</v>
      </c>
      <c r="D145" t="s">
        <v>32</v>
      </c>
      <c r="E145" t="s">
        <v>33</v>
      </c>
      <c r="F145" t="s">
        <v>119</v>
      </c>
      <c r="G145" t="s">
        <v>120</v>
      </c>
      <c r="H145" t="s">
        <v>113</v>
      </c>
      <c r="I145">
        <v>1</v>
      </c>
      <c r="J145">
        <v>1400</v>
      </c>
      <c r="K145">
        <v>1400</v>
      </c>
      <c r="L145" t="s">
        <v>48</v>
      </c>
      <c r="M145" t="s">
        <v>55</v>
      </c>
      <c r="N145" t="s">
        <v>28</v>
      </c>
      <c r="O145" s="4">
        <v>46238</v>
      </c>
      <c r="P145" s="2">
        <v>46239</v>
      </c>
      <c r="Q145" t="s">
        <v>49</v>
      </c>
      <c r="T145" s="10">
        <f t="shared" si="9"/>
        <v>1</v>
      </c>
      <c r="U145" s="13" t="str">
        <f t="shared" si="8"/>
        <v>Slightly Delayed</v>
      </c>
      <c r="V145" s="15" t="str">
        <f t="shared" si="10"/>
        <v>July</v>
      </c>
    </row>
    <row r="146" spans="1:22" x14ac:dyDescent="0.25">
      <c r="A146" t="s">
        <v>287</v>
      </c>
      <c r="B146" s="4">
        <v>46236</v>
      </c>
      <c r="C146" t="s">
        <v>83</v>
      </c>
      <c r="D146" t="s">
        <v>84</v>
      </c>
      <c r="E146" t="s">
        <v>71</v>
      </c>
      <c r="F146" t="s">
        <v>106</v>
      </c>
      <c r="G146" t="s">
        <v>107</v>
      </c>
      <c r="H146" t="s">
        <v>47</v>
      </c>
      <c r="I146">
        <v>2</v>
      </c>
      <c r="J146">
        <v>2500</v>
      </c>
      <c r="K146">
        <v>5000</v>
      </c>
      <c r="L146" t="s">
        <v>48</v>
      </c>
      <c r="M146" t="s">
        <v>55</v>
      </c>
      <c r="N146" t="s">
        <v>28</v>
      </c>
      <c r="O146" s="4">
        <v>46241</v>
      </c>
      <c r="P146" s="2">
        <v>46241</v>
      </c>
      <c r="Q146" t="s">
        <v>29</v>
      </c>
      <c r="T146" s="10">
        <f t="shared" si="9"/>
        <v>0</v>
      </c>
      <c r="U146" s="13" t="str">
        <f t="shared" si="8"/>
        <v>On Time</v>
      </c>
      <c r="V146" s="15" t="str">
        <f t="shared" si="10"/>
        <v>August</v>
      </c>
    </row>
    <row r="147" spans="1:22" x14ac:dyDescent="0.25">
      <c r="A147" t="s">
        <v>288</v>
      </c>
      <c r="B147" s="4">
        <v>46252</v>
      </c>
      <c r="C147" t="s">
        <v>129</v>
      </c>
      <c r="D147" t="s">
        <v>130</v>
      </c>
      <c r="E147" t="s">
        <v>22</v>
      </c>
      <c r="F147" t="s">
        <v>116</v>
      </c>
      <c r="G147" t="s">
        <v>117</v>
      </c>
      <c r="H147" t="s">
        <v>47</v>
      </c>
      <c r="I147">
        <v>2</v>
      </c>
      <c r="J147">
        <v>1200</v>
      </c>
      <c r="K147">
        <v>2400</v>
      </c>
      <c r="L147" t="s">
        <v>74</v>
      </c>
      <c r="M147" t="s">
        <v>55</v>
      </c>
      <c r="N147" t="s">
        <v>28</v>
      </c>
      <c r="O147" s="4">
        <v>46259</v>
      </c>
      <c r="P147" s="2">
        <v>46261</v>
      </c>
      <c r="Q147" t="s">
        <v>101</v>
      </c>
      <c r="T147" s="10">
        <f t="shared" si="9"/>
        <v>2</v>
      </c>
      <c r="U147" s="13" t="str">
        <f t="shared" si="8"/>
        <v>Slightly Delayed</v>
      </c>
      <c r="V147" s="15" t="str">
        <f t="shared" si="10"/>
        <v>August</v>
      </c>
    </row>
    <row r="148" spans="1:22" x14ac:dyDescent="0.25">
      <c r="A148" t="s">
        <v>289</v>
      </c>
      <c r="B148" s="4">
        <v>46259</v>
      </c>
      <c r="C148" t="s">
        <v>51</v>
      </c>
      <c r="D148" t="s">
        <v>52</v>
      </c>
      <c r="E148" t="s">
        <v>44</v>
      </c>
      <c r="F148" t="s">
        <v>72</v>
      </c>
      <c r="G148" t="s">
        <v>73</v>
      </c>
      <c r="H148" t="s">
        <v>36</v>
      </c>
      <c r="I148">
        <v>1</v>
      </c>
      <c r="J148">
        <v>950</v>
      </c>
      <c r="K148">
        <v>950</v>
      </c>
      <c r="L148" t="s">
        <v>48</v>
      </c>
      <c r="M148" t="s">
        <v>55</v>
      </c>
      <c r="N148" t="s">
        <v>155</v>
      </c>
      <c r="O148" s="4">
        <v>46262</v>
      </c>
      <c r="P148" s="2"/>
      <c r="Q148" t="s">
        <v>101</v>
      </c>
      <c r="T148" s="10" t="str">
        <f t="shared" si="9"/>
        <v/>
      </c>
      <c r="U148" s="13" t="str">
        <f t="shared" si="8"/>
        <v>Not Delivered</v>
      </c>
      <c r="V148" s="15" t="str">
        <f t="shared" si="10"/>
        <v>August</v>
      </c>
    </row>
    <row r="149" spans="1:22" x14ac:dyDescent="0.25">
      <c r="A149" t="s">
        <v>290</v>
      </c>
      <c r="B149" s="4">
        <v>46294</v>
      </c>
      <c r="C149" t="s">
        <v>86</v>
      </c>
      <c r="D149" t="s">
        <v>87</v>
      </c>
      <c r="E149" t="s">
        <v>88</v>
      </c>
      <c r="F149" t="s">
        <v>65</v>
      </c>
      <c r="G149" t="s">
        <v>66</v>
      </c>
      <c r="H149" t="s">
        <v>36</v>
      </c>
      <c r="I149">
        <v>4</v>
      </c>
      <c r="J149">
        <v>500</v>
      </c>
      <c r="K149">
        <v>2000</v>
      </c>
      <c r="L149" t="s">
        <v>79</v>
      </c>
      <c r="M149" t="s">
        <v>55</v>
      </c>
      <c r="N149" t="s">
        <v>28</v>
      </c>
      <c r="O149" s="4">
        <v>46300</v>
      </c>
      <c r="P149" s="2">
        <v>46300</v>
      </c>
      <c r="Q149" t="s">
        <v>39</v>
      </c>
      <c r="T149" s="10">
        <f t="shared" si="9"/>
        <v>0</v>
      </c>
      <c r="U149" s="13" t="str">
        <f t="shared" si="8"/>
        <v>On Time</v>
      </c>
      <c r="V149" s="15" t="str">
        <f t="shared" si="10"/>
        <v>September</v>
      </c>
    </row>
    <row r="150" spans="1:22" x14ac:dyDescent="0.25">
      <c r="A150" t="s">
        <v>291</v>
      </c>
      <c r="B150" s="4">
        <v>46292</v>
      </c>
      <c r="C150" t="s">
        <v>125</v>
      </c>
      <c r="D150" t="s">
        <v>126</v>
      </c>
      <c r="E150" t="s">
        <v>44</v>
      </c>
      <c r="F150" t="s">
        <v>116</v>
      </c>
      <c r="G150" t="s">
        <v>117</v>
      </c>
      <c r="H150" t="s">
        <v>47</v>
      </c>
      <c r="I150">
        <v>4</v>
      </c>
      <c r="J150">
        <v>1200</v>
      </c>
      <c r="K150">
        <v>4800</v>
      </c>
      <c r="L150" t="s">
        <v>48</v>
      </c>
      <c r="M150" t="s">
        <v>55</v>
      </c>
      <c r="N150" t="s">
        <v>28</v>
      </c>
      <c r="O150" s="4">
        <v>46297</v>
      </c>
      <c r="P150" s="2">
        <v>46296</v>
      </c>
      <c r="Q150" t="s">
        <v>49</v>
      </c>
      <c r="T150" s="10">
        <f t="shared" si="9"/>
        <v>-1</v>
      </c>
      <c r="U150" s="13" t="str">
        <f t="shared" si="8"/>
        <v>On Time</v>
      </c>
      <c r="V150" s="15" t="str">
        <f t="shared" si="10"/>
        <v>September</v>
      </c>
    </row>
    <row r="151" spans="1:22" x14ac:dyDescent="0.25">
      <c r="A151" t="s">
        <v>292</v>
      </c>
      <c r="B151" s="4">
        <v>46271</v>
      </c>
      <c r="C151" t="s">
        <v>129</v>
      </c>
      <c r="D151" t="s">
        <v>130</v>
      </c>
      <c r="E151" t="s">
        <v>22</v>
      </c>
      <c r="F151" t="s">
        <v>147</v>
      </c>
      <c r="G151" t="s">
        <v>148</v>
      </c>
      <c r="H151" t="s">
        <v>25</v>
      </c>
      <c r="I151">
        <v>4</v>
      </c>
      <c r="J151">
        <v>450</v>
      </c>
      <c r="K151">
        <v>1800</v>
      </c>
      <c r="L151" t="s">
        <v>26</v>
      </c>
      <c r="M151" t="s">
        <v>55</v>
      </c>
      <c r="N151" t="s">
        <v>28</v>
      </c>
      <c r="O151" s="4">
        <v>46274</v>
      </c>
      <c r="P151" s="2">
        <v>46275</v>
      </c>
      <c r="Q151" t="s">
        <v>49</v>
      </c>
      <c r="T151" s="10">
        <f t="shared" si="9"/>
        <v>1</v>
      </c>
      <c r="U151" s="13" t="str">
        <f t="shared" si="8"/>
        <v>Slightly Delayed</v>
      </c>
      <c r="V151" s="15" t="str">
        <f t="shared" si="10"/>
        <v>September</v>
      </c>
    </row>
    <row r="152" spans="1:22" x14ac:dyDescent="0.25">
      <c r="A152" t="s">
        <v>293</v>
      </c>
      <c r="B152" s="4">
        <v>46269</v>
      </c>
      <c r="C152" t="s">
        <v>125</v>
      </c>
      <c r="D152" t="s">
        <v>126</v>
      </c>
      <c r="E152" t="s">
        <v>44</v>
      </c>
      <c r="F152" t="s">
        <v>116</v>
      </c>
      <c r="G152" t="s">
        <v>117</v>
      </c>
      <c r="H152" t="s">
        <v>47</v>
      </c>
      <c r="I152">
        <v>1</v>
      </c>
      <c r="J152">
        <v>1200</v>
      </c>
      <c r="K152">
        <v>1200</v>
      </c>
      <c r="L152" t="s">
        <v>74</v>
      </c>
      <c r="M152" t="s">
        <v>27</v>
      </c>
      <c r="N152" t="s">
        <v>67</v>
      </c>
      <c r="O152" s="4">
        <v>46272</v>
      </c>
      <c r="P152" s="2"/>
      <c r="Q152" t="s">
        <v>49</v>
      </c>
      <c r="T152" s="10" t="str">
        <f t="shared" si="9"/>
        <v/>
      </c>
      <c r="U152" s="13" t="str">
        <f t="shared" si="8"/>
        <v>Not Delivered</v>
      </c>
      <c r="V152" s="15" t="str">
        <f t="shared" si="10"/>
        <v>September</v>
      </c>
    </row>
    <row r="153" spans="1:22" x14ac:dyDescent="0.25">
      <c r="A153" t="s">
        <v>294</v>
      </c>
      <c r="B153" s="4">
        <v>46234</v>
      </c>
      <c r="C153" t="s">
        <v>184</v>
      </c>
      <c r="D153" t="s">
        <v>185</v>
      </c>
      <c r="E153" t="s">
        <v>88</v>
      </c>
      <c r="F153" t="s">
        <v>133</v>
      </c>
      <c r="G153" t="s">
        <v>134</v>
      </c>
      <c r="H153" t="s">
        <v>113</v>
      </c>
      <c r="I153">
        <v>2</v>
      </c>
      <c r="J153">
        <v>2200</v>
      </c>
      <c r="K153">
        <v>4400</v>
      </c>
      <c r="L153" t="s">
        <v>26</v>
      </c>
      <c r="M153" t="s">
        <v>55</v>
      </c>
      <c r="N153" t="s">
        <v>67</v>
      </c>
      <c r="O153" s="4">
        <v>46237</v>
      </c>
      <c r="P153" s="2"/>
      <c r="Q153" t="s">
        <v>49</v>
      </c>
      <c r="T153" s="10" t="str">
        <f t="shared" si="9"/>
        <v/>
      </c>
      <c r="U153" s="13" t="str">
        <f t="shared" si="8"/>
        <v>Not Delivered</v>
      </c>
      <c r="V153" s="15" t="str">
        <f t="shared" si="10"/>
        <v>July</v>
      </c>
    </row>
    <row r="154" spans="1:22" x14ac:dyDescent="0.25">
      <c r="A154" t="s">
        <v>295</v>
      </c>
      <c r="B154" s="4">
        <v>46287</v>
      </c>
      <c r="C154" t="s">
        <v>139</v>
      </c>
      <c r="D154" t="s">
        <v>140</v>
      </c>
      <c r="E154" t="s">
        <v>96</v>
      </c>
      <c r="F154" t="s">
        <v>150</v>
      </c>
      <c r="G154" t="s">
        <v>151</v>
      </c>
      <c r="H154" t="s">
        <v>25</v>
      </c>
      <c r="I154">
        <v>2</v>
      </c>
      <c r="J154">
        <v>550</v>
      </c>
      <c r="K154">
        <v>1100</v>
      </c>
      <c r="L154" t="s">
        <v>79</v>
      </c>
      <c r="M154" t="s">
        <v>27</v>
      </c>
      <c r="N154" t="s">
        <v>28</v>
      </c>
      <c r="O154" s="4">
        <v>46290</v>
      </c>
      <c r="P154" s="2">
        <v>46290</v>
      </c>
      <c r="Q154" t="s">
        <v>29</v>
      </c>
      <c r="T154" s="10">
        <f t="shared" si="9"/>
        <v>0</v>
      </c>
      <c r="U154" s="13" t="str">
        <f t="shared" si="8"/>
        <v>On Time</v>
      </c>
      <c r="V154" s="15" t="str">
        <f t="shared" si="10"/>
        <v>September</v>
      </c>
    </row>
    <row r="155" spans="1:22" x14ac:dyDescent="0.25">
      <c r="A155" t="s">
        <v>296</v>
      </c>
      <c r="B155" s="4">
        <v>46291</v>
      </c>
      <c r="C155" t="s">
        <v>86</v>
      </c>
      <c r="D155" t="s">
        <v>87</v>
      </c>
      <c r="E155" t="s">
        <v>88</v>
      </c>
      <c r="F155" t="s">
        <v>147</v>
      </c>
      <c r="G155" t="s">
        <v>148</v>
      </c>
      <c r="H155" t="s">
        <v>25</v>
      </c>
      <c r="I155">
        <v>4</v>
      </c>
      <c r="J155">
        <v>450</v>
      </c>
      <c r="K155">
        <v>1800</v>
      </c>
      <c r="L155" t="s">
        <v>74</v>
      </c>
      <c r="M155" t="s">
        <v>27</v>
      </c>
      <c r="N155" t="s">
        <v>28</v>
      </c>
      <c r="O155" s="4">
        <v>46298</v>
      </c>
      <c r="P155" s="2">
        <v>46300</v>
      </c>
      <c r="Q155" t="s">
        <v>101</v>
      </c>
      <c r="T155" s="10">
        <f t="shared" si="9"/>
        <v>2</v>
      </c>
      <c r="U155" s="13" t="str">
        <f t="shared" si="8"/>
        <v>Slightly Delayed</v>
      </c>
      <c r="V155" s="15" t="str">
        <f t="shared" si="10"/>
        <v>September</v>
      </c>
    </row>
    <row r="156" spans="1:22" x14ac:dyDescent="0.25">
      <c r="A156" t="s">
        <v>297</v>
      </c>
      <c r="B156" s="4">
        <v>46212</v>
      </c>
      <c r="C156" t="s">
        <v>125</v>
      </c>
      <c r="D156" t="s">
        <v>126</v>
      </c>
      <c r="E156" t="s">
        <v>44</v>
      </c>
      <c r="F156" t="s">
        <v>59</v>
      </c>
      <c r="G156" t="s">
        <v>60</v>
      </c>
      <c r="H156" t="s">
        <v>47</v>
      </c>
      <c r="I156">
        <v>4</v>
      </c>
      <c r="J156">
        <v>350</v>
      </c>
      <c r="K156">
        <v>1400</v>
      </c>
      <c r="L156" t="s">
        <v>26</v>
      </c>
      <c r="M156" t="s">
        <v>27</v>
      </c>
      <c r="N156" t="s">
        <v>28</v>
      </c>
      <c r="O156" s="4">
        <v>46218</v>
      </c>
      <c r="P156" s="2">
        <v>46219</v>
      </c>
      <c r="Q156" t="s">
        <v>101</v>
      </c>
      <c r="T156" s="10">
        <f t="shared" si="9"/>
        <v>1</v>
      </c>
      <c r="U156" s="13" t="str">
        <f t="shared" si="8"/>
        <v>Slightly Delayed</v>
      </c>
      <c r="V156" s="15" t="str">
        <f t="shared" si="10"/>
        <v>July</v>
      </c>
    </row>
    <row r="157" spans="1:22" x14ac:dyDescent="0.25">
      <c r="A157" t="s">
        <v>298</v>
      </c>
      <c r="B157" s="4">
        <v>46268</v>
      </c>
      <c r="C157" t="s">
        <v>86</v>
      </c>
      <c r="D157" t="s">
        <v>87</v>
      </c>
      <c r="E157" t="s">
        <v>88</v>
      </c>
      <c r="F157" t="s">
        <v>53</v>
      </c>
      <c r="G157" t="s">
        <v>54</v>
      </c>
      <c r="H157" t="s">
        <v>47</v>
      </c>
      <c r="I157">
        <v>3</v>
      </c>
      <c r="J157">
        <v>850</v>
      </c>
      <c r="K157">
        <v>2550</v>
      </c>
      <c r="L157" t="s">
        <v>79</v>
      </c>
      <c r="M157" t="s">
        <v>55</v>
      </c>
      <c r="N157" t="s">
        <v>28</v>
      </c>
      <c r="O157" s="4">
        <v>46271</v>
      </c>
      <c r="P157" s="2">
        <v>46271</v>
      </c>
      <c r="Q157" t="s">
        <v>39</v>
      </c>
      <c r="T157" s="10">
        <f t="shared" si="9"/>
        <v>0</v>
      </c>
      <c r="U157" s="13" t="str">
        <f t="shared" si="8"/>
        <v>On Time</v>
      </c>
      <c r="V157" s="15" t="str">
        <f t="shared" si="10"/>
        <v>September</v>
      </c>
    </row>
    <row r="158" spans="1:22" x14ac:dyDescent="0.25">
      <c r="A158" t="s">
        <v>299</v>
      </c>
      <c r="B158" s="4">
        <v>46213</v>
      </c>
      <c r="C158" t="s">
        <v>69</v>
      </c>
      <c r="D158" t="s">
        <v>70</v>
      </c>
      <c r="E158" t="s">
        <v>71</v>
      </c>
      <c r="F158" t="s">
        <v>133</v>
      </c>
      <c r="G158" t="s">
        <v>134</v>
      </c>
      <c r="H158" t="s">
        <v>113</v>
      </c>
      <c r="I158">
        <v>3</v>
      </c>
      <c r="J158">
        <v>2200</v>
      </c>
      <c r="K158">
        <v>6600</v>
      </c>
      <c r="L158" t="s">
        <v>74</v>
      </c>
      <c r="M158" t="s">
        <v>55</v>
      </c>
      <c r="N158" t="s">
        <v>28</v>
      </c>
      <c r="O158" s="4">
        <v>46216</v>
      </c>
      <c r="P158" s="2">
        <v>46217</v>
      </c>
      <c r="Q158" t="s">
        <v>29</v>
      </c>
      <c r="T158" s="10">
        <f t="shared" si="9"/>
        <v>1</v>
      </c>
      <c r="U158" s="13" t="str">
        <f t="shared" si="8"/>
        <v>Slightly Delayed</v>
      </c>
      <c r="V158" s="15" t="str">
        <f t="shared" si="10"/>
        <v>July</v>
      </c>
    </row>
    <row r="159" spans="1:22" x14ac:dyDescent="0.25">
      <c r="A159" t="s">
        <v>301</v>
      </c>
      <c r="B159" s="4">
        <v>46261</v>
      </c>
      <c r="C159" t="s">
        <v>109</v>
      </c>
      <c r="D159" t="s">
        <v>110</v>
      </c>
      <c r="E159" t="s">
        <v>105</v>
      </c>
      <c r="F159" t="s">
        <v>147</v>
      </c>
      <c r="G159" t="s">
        <v>148</v>
      </c>
      <c r="H159" t="s">
        <v>25</v>
      </c>
      <c r="I159">
        <v>1</v>
      </c>
      <c r="J159">
        <v>450</v>
      </c>
      <c r="K159">
        <v>450</v>
      </c>
      <c r="L159" t="s">
        <v>26</v>
      </c>
      <c r="M159" t="s">
        <v>55</v>
      </c>
      <c r="N159" t="s">
        <v>28</v>
      </c>
      <c r="O159" s="4">
        <v>46268</v>
      </c>
      <c r="P159" s="2">
        <v>46270</v>
      </c>
      <c r="Q159" t="s">
        <v>29</v>
      </c>
      <c r="T159" s="10">
        <f t="shared" si="9"/>
        <v>2</v>
      </c>
      <c r="U159" s="13" t="str">
        <f t="shared" si="8"/>
        <v>Slightly Delayed</v>
      </c>
      <c r="V159" s="15" t="str">
        <f t="shared" si="10"/>
        <v>August</v>
      </c>
    </row>
    <row r="160" spans="1:22" x14ac:dyDescent="0.25">
      <c r="A160" t="s">
        <v>302</v>
      </c>
      <c r="B160" s="4">
        <v>46261</v>
      </c>
      <c r="C160" t="s">
        <v>31</v>
      </c>
      <c r="D160" t="s">
        <v>32</v>
      </c>
      <c r="E160" t="s">
        <v>33</v>
      </c>
      <c r="F160" t="s">
        <v>59</v>
      </c>
      <c r="G160" t="s">
        <v>60</v>
      </c>
      <c r="H160" t="s">
        <v>47</v>
      </c>
      <c r="I160">
        <v>1</v>
      </c>
      <c r="J160">
        <v>350</v>
      </c>
      <c r="K160">
        <v>350</v>
      </c>
      <c r="L160" t="s">
        <v>48</v>
      </c>
      <c r="M160" t="s">
        <v>27</v>
      </c>
      <c r="N160" t="s">
        <v>38</v>
      </c>
      <c r="O160" s="4">
        <v>46264</v>
      </c>
      <c r="P160" s="2"/>
      <c r="Q160" t="s">
        <v>49</v>
      </c>
      <c r="S160" t="s">
        <v>204</v>
      </c>
      <c r="T160" s="10" t="str">
        <f t="shared" si="9"/>
        <v/>
      </c>
      <c r="U160" s="13" t="str">
        <f t="shared" si="8"/>
        <v>Not Delivered</v>
      </c>
      <c r="V160" s="15" t="str">
        <f t="shared" si="10"/>
        <v>August</v>
      </c>
    </row>
    <row r="161" spans="1:22" x14ac:dyDescent="0.25">
      <c r="A161" t="s">
        <v>303</v>
      </c>
      <c r="B161" s="4">
        <v>46271</v>
      </c>
      <c r="C161" t="s">
        <v>180</v>
      </c>
      <c r="D161" t="s">
        <v>181</v>
      </c>
      <c r="E161" t="s">
        <v>33</v>
      </c>
      <c r="F161" t="s">
        <v>34</v>
      </c>
      <c r="G161" t="s">
        <v>35</v>
      </c>
      <c r="H161" t="s">
        <v>36</v>
      </c>
      <c r="I161">
        <v>4</v>
      </c>
      <c r="J161">
        <v>3200</v>
      </c>
      <c r="K161">
        <v>12800</v>
      </c>
      <c r="L161" t="s">
        <v>61</v>
      </c>
      <c r="M161" t="s">
        <v>55</v>
      </c>
      <c r="N161" t="s">
        <v>56</v>
      </c>
      <c r="O161" s="4">
        <v>46278</v>
      </c>
      <c r="P161" s="2">
        <v>46279</v>
      </c>
      <c r="Q161" t="s">
        <v>101</v>
      </c>
      <c r="R161" t="s">
        <v>145</v>
      </c>
      <c r="T161" s="10">
        <f t="shared" si="9"/>
        <v>1</v>
      </c>
      <c r="U161" s="13" t="str">
        <f t="shared" si="8"/>
        <v>Slightly Delayed</v>
      </c>
      <c r="V161" s="15" t="str">
        <f t="shared" si="10"/>
        <v>September</v>
      </c>
    </row>
    <row r="162" spans="1:22" x14ac:dyDescent="0.25">
      <c r="A162" t="s">
        <v>304</v>
      </c>
      <c r="B162" s="4">
        <v>46247</v>
      </c>
      <c r="C162" t="s">
        <v>83</v>
      </c>
      <c r="D162" t="s">
        <v>84</v>
      </c>
      <c r="E162" t="s">
        <v>71</v>
      </c>
      <c r="F162" t="s">
        <v>72</v>
      </c>
      <c r="G162" t="s">
        <v>73</v>
      </c>
      <c r="H162" t="s">
        <v>36</v>
      </c>
      <c r="I162">
        <v>4</v>
      </c>
      <c r="J162">
        <v>950</v>
      </c>
      <c r="K162">
        <v>3800</v>
      </c>
      <c r="L162" t="s">
        <v>26</v>
      </c>
      <c r="M162" t="s">
        <v>27</v>
      </c>
      <c r="N162" t="s">
        <v>28</v>
      </c>
      <c r="O162" s="4">
        <v>46254</v>
      </c>
      <c r="P162" s="2">
        <v>46253</v>
      </c>
      <c r="Q162" t="s">
        <v>39</v>
      </c>
      <c r="T162" s="10">
        <f t="shared" si="9"/>
        <v>-1</v>
      </c>
      <c r="U162" s="13" t="str">
        <f t="shared" ref="U162:U193" si="11">IF(T162="","Not Delivered",IF(T162&lt;=0,"On Time",IF(T162&lt;=2,"Slightly Delayed","Delayed")))</f>
        <v>On Time</v>
      </c>
      <c r="V162" s="15" t="str">
        <f t="shared" si="10"/>
        <v>August</v>
      </c>
    </row>
    <row r="163" spans="1:22" x14ac:dyDescent="0.25">
      <c r="A163" t="s">
        <v>305</v>
      </c>
      <c r="B163" s="4">
        <v>46240</v>
      </c>
      <c r="C163" t="s">
        <v>125</v>
      </c>
      <c r="D163" t="s">
        <v>126</v>
      </c>
      <c r="E163" t="s">
        <v>44</v>
      </c>
      <c r="F163" t="s">
        <v>141</v>
      </c>
      <c r="G163" t="s">
        <v>142</v>
      </c>
      <c r="H163" t="s">
        <v>47</v>
      </c>
      <c r="I163">
        <v>4</v>
      </c>
      <c r="J163">
        <v>1800</v>
      </c>
      <c r="K163">
        <v>7200</v>
      </c>
      <c r="L163" t="s">
        <v>74</v>
      </c>
      <c r="M163" t="s">
        <v>203</v>
      </c>
      <c r="N163" t="s">
        <v>38</v>
      </c>
      <c r="O163" s="4">
        <v>46245</v>
      </c>
      <c r="P163" s="2"/>
      <c r="Q163" t="s">
        <v>49</v>
      </c>
      <c r="S163" t="s">
        <v>280</v>
      </c>
      <c r="T163" s="10" t="str">
        <f t="shared" si="9"/>
        <v/>
      </c>
      <c r="U163" s="13" t="str">
        <f t="shared" si="11"/>
        <v>Not Delivered</v>
      </c>
      <c r="V163" s="15" t="str">
        <f t="shared" si="10"/>
        <v>August</v>
      </c>
    </row>
    <row r="164" spans="1:22" x14ac:dyDescent="0.25">
      <c r="A164" t="s">
        <v>306</v>
      </c>
      <c r="B164" s="4">
        <v>46248</v>
      </c>
      <c r="C164" t="s">
        <v>51</v>
      </c>
      <c r="D164" t="s">
        <v>52</v>
      </c>
      <c r="E164" t="s">
        <v>44</v>
      </c>
      <c r="F164" t="s">
        <v>147</v>
      </c>
      <c r="G164" t="s">
        <v>148</v>
      </c>
      <c r="H164" t="s">
        <v>25</v>
      </c>
      <c r="I164">
        <v>2</v>
      </c>
      <c r="J164">
        <v>450</v>
      </c>
      <c r="K164">
        <v>900</v>
      </c>
      <c r="L164" t="s">
        <v>79</v>
      </c>
      <c r="M164" t="s">
        <v>27</v>
      </c>
      <c r="N164" t="s">
        <v>28</v>
      </c>
      <c r="O164" s="4">
        <v>46253</v>
      </c>
      <c r="P164" s="2">
        <v>46255</v>
      </c>
      <c r="Q164" t="s">
        <v>49</v>
      </c>
      <c r="T164" s="10">
        <f t="shared" si="9"/>
        <v>2</v>
      </c>
      <c r="U164" s="13" t="str">
        <f t="shared" si="11"/>
        <v>Slightly Delayed</v>
      </c>
      <c r="V164" s="15" t="str">
        <f t="shared" si="10"/>
        <v>August</v>
      </c>
    </row>
    <row r="165" spans="1:22" x14ac:dyDescent="0.25">
      <c r="A165" t="s">
        <v>307</v>
      </c>
      <c r="B165" s="4">
        <v>46275</v>
      </c>
      <c r="C165" t="s">
        <v>94</v>
      </c>
      <c r="D165" t="s">
        <v>95</v>
      </c>
      <c r="E165" t="s">
        <v>96</v>
      </c>
      <c r="F165" t="s">
        <v>97</v>
      </c>
      <c r="G165" t="s">
        <v>98</v>
      </c>
      <c r="H165" t="s">
        <v>47</v>
      </c>
      <c r="I165">
        <v>3</v>
      </c>
      <c r="J165">
        <v>1450</v>
      </c>
      <c r="K165">
        <v>4350</v>
      </c>
      <c r="L165" t="s">
        <v>26</v>
      </c>
      <c r="M165" t="s">
        <v>27</v>
      </c>
      <c r="N165" t="s">
        <v>89</v>
      </c>
      <c r="O165" s="4">
        <v>46281</v>
      </c>
      <c r="P165" s="2"/>
      <c r="Q165" t="s">
        <v>49</v>
      </c>
      <c r="T165" s="10" t="str">
        <f t="shared" si="9"/>
        <v/>
      </c>
      <c r="U165" s="13" t="str">
        <f t="shared" si="11"/>
        <v>Not Delivered</v>
      </c>
      <c r="V165" s="15" t="str">
        <f t="shared" si="10"/>
        <v>September</v>
      </c>
    </row>
    <row r="166" spans="1:22" x14ac:dyDescent="0.25">
      <c r="A166" t="s">
        <v>308</v>
      </c>
      <c r="B166" s="4">
        <v>46269</v>
      </c>
      <c r="C166" t="s">
        <v>31</v>
      </c>
      <c r="D166" t="s">
        <v>32</v>
      </c>
      <c r="E166" t="s">
        <v>33</v>
      </c>
      <c r="F166" t="s">
        <v>97</v>
      </c>
      <c r="G166" t="s">
        <v>98</v>
      </c>
      <c r="H166" t="s">
        <v>47</v>
      </c>
      <c r="I166">
        <v>4</v>
      </c>
      <c r="J166">
        <v>1450</v>
      </c>
      <c r="K166">
        <v>5800</v>
      </c>
      <c r="L166" t="s">
        <v>26</v>
      </c>
      <c r="M166" t="s">
        <v>55</v>
      </c>
      <c r="N166" t="s">
        <v>28</v>
      </c>
      <c r="O166" s="4">
        <v>46274</v>
      </c>
      <c r="P166" s="2">
        <v>46273</v>
      </c>
      <c r="Q166" t="s">
        <v>49</v>
      </c>
      <c r="T166" s="10">
        <f t="shared" si="9"/>
        <v>-1</v>
      </c>
      <c r="U166" s="13" t="str">
        <f t="shared" si="11"/>
        <v>On Time</v>
      </c>
      <c r="V166" s="15" t="str">
        <f t="shared" si="10"/>
        <v>September</v>
      </c>
    </row>
    <row r="167" spans="1:22" x14ac:dyDescent="0.25">
      <c r="A167" t="s">
        <v>309</v>
      </c>
      <c r="B167" s="4">
        <v>46228</v>
      </c>
      <c r="C167" t="s">
        <v>20</v>
      </c>
      <c r="D167" t="s">
        <v>21</v>
      </c>
      <c r="E167" t="s">
        <v>22</v>
      </c>
      <c r="F167" t="s">
        <v>111</v>
      </c>
      <c r="G167" t="s">
        <v>112</v>
      </c>
      <c r="H167" t="s">
        <v>113</v>
      </c>
      <c r="I167">
        <v>4</v>
      </c>
      <c r="J167">
        <v>1250</v>
      </c>
      <c r="K167">
        <v>5000</v>
      </c>
      <c r="L167" t="s">
        <v>61</v>
      </c>
      <c r="M167" t="s">
        <v>37</v>
      </c>
      <c r="N167" t="s">
        <v>38</v>
      </c>
      <c r="O167" s="4">
        <v>46232</v>
      </c>
      <c r="P167" s="2"/>
      <c r="Q167" t="s">
        <v>39</v>
      </c>
      <c r="S167" t="s">
        <v>280</v>
      </c>
      <c r="T167" s="10" t="str">
        <f t="shared" si="9"/>
        <v/>
      </c>
      <c r="U167" s="13" t="str">
        <f t="shared" si="11"/>
        <v>Not Delivered</v>
      </c>
      <c r="V167" s="15" t="str">
        <f t="shared" si="10"/>
        <v>July</v>
      </c>
    </row>
    <row r="168" spans="1:22" x14ac:dyDescent="0.25">
      <c r="A168" t="s">
        <v>310</v>
      </c>
      <c r="B168" s="4">
        <v>46288</v>
      </c>
      <c r="C168" t="s">
        <v>63</v>
      </c>
      <c r="D168" t="s">
        <v>64</v>
      </c>
      <c r="E168" t="s">
        <v>353</v>
      </c>
      <c r="F168" t="s">
        <v>91</v>
      </c>
      <c r="G168" t="s">
        <v>92</v>
      </c>
      <c r="H168" t="s">
        <v>25</v>
      </c>
      <c r="I168">
        <v>1</v>
      </c>
      <c r="J168">
        <v>180</v>
      </c>
      <c r="K168">
        <v>180</v>
      </c>
      <c r="L168" t="s">
        <v>61</v>
      </c>
      <c r="M168" t="s">
        <v>27</v>
      </c>
      <c r="N168" t="s">
        <v>28</v>
      </c>
      <c r="O168" s="4">
        <v>46293</v>
      </c>
      <c r="P168" s="2">
        <v>46296</v>
      </c>
      <c r="Q168" t="s">
        <v>29</v>
      </c>
      <c r="T168" s="10">
        <f t="shared" si="9"/>
        <v>3</v>
      </c>
      <c r="U168" s="13" t="str">
        <f t="shared" si="11"/>
        <v>Delayed</v>
      </c>
      <c r="V168" s="15" t="str">
        <f t="shared" si="10"/>
        <v>September</v>
      </c>
    </row>
    <row r="169" spans="1:22" x14ac:dyDescent="0.25">
      <c r="A169" t="s">
        <v>311</v>
      </c>
      <c r="B169" s="4">
        <v>46292</v>
      </c>
      <c r="C169" t="s">
        <v>76</v>
      </c>
      <c r="D169" t="s">
        <v>77</v>
      </c>
      <c r="E169" t="s">
        <v>88</v>
      </c>
      <c r="F169" t="s">
        <v>116</v>
      </c>
      <c r="G169" t="s">
        <v>117</v>
      </c>
      <c r="H169" t="s">
        <v>47</v>
      </c>
      <c r="I169">
        <v>2</v>
      </c>
      <c r="J169">
        <v>1200</v>
      </c>
      <c r="K169">
        <v>2400</v>
      </c>
      <c r="L169" t="s">
        <v>79</v>
      </c>
      <c r="M169" t="s">
        <v>55</v>
      </c>
      <c r="N169" t="s">
        <v>28</v>
      </c>
      <c r="O169" s="4">
        <v>46299</v>
      </c>
      <c r="P169" s="2">
        <v>46302</v>
      </c>
      <c r="Q169" t="s">
        <v>39</v>
      </c>
      <c r="T169" s="10">
        <f t="shared" si="9"/>
        <v>3</v>
      </c>
      <c r="U169" s="13" t="str">
        <f t="shared" si="11"/>
        <v>Delayed</v>
      </c>
      <c r="V169" s="15" t="str">
        <f t="shared" si="10"/>
        <v>September</v>
      </c>
    </row>
    <row r="170" spans="1:22" x14ac:dyDescent="0.25">
      <c r="A170" t="s">
        <v>312</v>
      </c>
      <c r="B170" s="4">
        <v>46260</v>
      </c>
      <c r="C170" t="s">
        <v>129</v>
      </c>
      <c r="D170" t="s">
        <v>130</v>
      </c>
      <c r="E170" t="s">
        <v>22</v>
      </c>
      <c r="F170" t="s">
        <v>133</v>
      </c>
      <c r="G170" t="s">
        <v>134</v>
      </c>
      <c r="H170" t="s">
        <v>113</v>
      </c>
      <c r="I170">
        <v>2</v>
      </c>
      <c r="J170">
        <v>2200</v>
      </c>
      <c r="K170">
        <v>4400</v>
      </c>
      <c r="L170" t="s">
        <v>79</v>
      </c>
      <c r="M170" t="s">
        <v>27</v>
      </c>
      <c r="N170" t="s">
        <v>28</v>
      </c>
      <c r="O170" s="4">
        <v>46267</v>
      </c>
      <c r="P170" s="2">
        <v>46267</v>
      </c>
      <c r="Q170" t="s">
        <v>49</v>
      </c>
      <c r="T170" s="10">
        <f t="shared" si="9"/>
        <v>0</v>
      </c>
      <c r="U170" s="13" t="str">
        <f t="shared" si="11"/>
        <v>On Time</v>
      </c>
      <c r="V170" s="15" t="str">
        <f t="shared" si="10"/>
        <v>August</v>
      </c>
    </row>
    <row r="171" spans="1:22" x14ac:dyDescent="0.25">
      <c r="A171" t="s">
        <v>313</v>
      </c>
      <c r="B171" s="4">
        <v>46264</v>
      </c>
      <c r="C171" t="s">
        <v>42</v>
      </c>
      <c r="D171" t="s">
        <v>43</v>
      </c>
      <c r="E171" t="s">
        <v>44</v>
      </c>
      <c r="F171" t="s">
        <v>45</v>
      </c>
      <c r="G171" t="s">
        <v>46</v>
      </c>
      <c r="H171" t="s">
        <v>47</v>
      </c>
      <c r="I171">
        <v>3</v>
      </c>
      <c r="J171">
        <v>1100</v>
      </c>
      <c r="K171">
        <v>3300</v>
      </c>
      <c r="L171" t="s">
        <v>74</v>
      </c>
      <c r="M171" t="s">
        <v>55</v>
      </c>
      <c r="N171" t="s">
        <v>155</v>
      </c>
      <c r="O171" s="4">
        <v>46268</v>
      </c>
      <c r="P171" s="2"/>
      <c r="Q171" t="s">
        <v>29</v>
      </c>
      <c r="T171" s="10" t="str">
        <f t="shared" si="9"/>
        <v/>
      </c>
      <c r="U171" s="13" t="str">
        <f t="shared" si="11"/>
        <v>Not Delivered</v>
      </c>
      <c r="V171" s="15" t="str">
        <f t="shared" si="10"/>
        <v>August</v>
      </c>
    </row>
    <row r="172" spans="1:22" x14ac:dyDescent="0.25">
      <c r="A172" t="s">
        <v>314</v>
      </c>
      <c r="B172" s="4">
        <v>46268</v>
      </c>
      <c r="C172" t="s">
        <v>109</v>
      </c>
      <c r="D172" t="s">
        <v>110</v>
      </c>
      <c r="E172" t="s">
        <v>105</v>
      </c>
      <c r="F172" t="s">
        <v>119</v>
      </c>
      <c r="G172" t="s">
        <v>120</v>
      </c>
      <c r="H172" t="s">
        <v>113</v>
      </c>
      <c r="I172">
        <v>4</v>
      </c>
      <c r="J172">
        <v>1400</v>
      </c>
      <c r="K172">
        <v>5600</v>
      </c>
      <c r="L172" t="s">
        <v>61</v>
      </c>
      <c r="M172" t="s">
        <v>55</v>
      </c>
      <c r="N172" t="s">
        <v>28</v>
      </c>
      <c r="O172" s="4">
        <v>46275</v>
      </c>
      <c r="P172" s="2">
        <v>46276</v>
      </c>
      <c r="Q172" t="s">
        <v>49</v>
      </c>
      <c r="T172" s="10">
        <f t="shared" si="9"/>
        <v>1</v>
      </c>
      <c r="U172" s="13" t="str">
        <f t="shared" si="11"/>
        <v>Slightly Delayed</v>
      </c>
      <c r="V172" s="15" t="str">
        <f t="shared" si="10"/>
        <v>September</v>
      </c>
    </row>
    <row r="173" spans="1:22" x14ac:dyDescent="0.25">
      <c r="A173" t="s">
        <v>315</v>
      </c>
      <c r="B173" s="4">
        <v>46251</v>
      </c>
      <c r="C173" t="s">
        <v>103</v>
      </c>
      <c r="D173" t="s">
        <v>104</v>
      </c>
      <c r="E173" t="s">
        <v>105</v>
      </c>
      <c r="F173" t="s">
        <v>53</v>
      </c>
      <c r="G173" t="s">
        <v>54</v>
      </c>
      <c r="H173" t="s">
        <v>47</v>
      </c>
      <c r="I173">
        <v>4</v>
      </c>
      <c r="J173">
        <v>850</v>
      </c>
      <c r="K173">
        <v>3400</v>
      </c>
      <c r="L173" t="s">
        <v>74</v>
      </c>
      <c r="M173" t="s">
        <v>27</v>
      </c>
      <c r="N173" t="s">
        <v>28</v>
      </c>
      <c r="O173" s="4">
        <v>46258</v>
      </c>
      <c r="P173" s="2">
        <v>46257</v>
      </c>
      <c r="Q173" t="s">
        <v>39</v>
      </c>
      <c r="T173" s="10">
        <f t="shared" si="9"/>
        <v>-1</v>
      </c>
      <c r="U173" s="13" t="str">
        <f t="shared" si="11"/>
        <v>On Time</v>
      </c>
      <c r="V173" s="15" t="str">
        <f t="shared" si="10"/>
        <v>August</v>
      </c>
    </row>
    <row r="174" spans="1:22" x14ac:dyDescent="0.25">
      <c r="A174" t="s">
        <v>316</v>
      </c>
      <c r="B174" s="4">
        <v>46238</v>
      </c>
      <c r="C174" t="s">
        <v>83</v>
      </c>
      <c r="D174" t="s">
        <v>84</v>
      </c>
      <c r="E174" t="s">
        <v>71</v>
      </c>
      <c r="F174" t="s">
        <v>97</v>
      </c>
      <c r="G174" t="s">
        <v>98</v>
      </c>
      <c r="H174" t="s">
        <v>47</v>
      </c>
      <c r="I174">
        <v>2</v>
      </c>
      <c r="J174">
        <v>1450</v>
      </c>
      <c r="K174">
        <v>2900</v>
      </c>
      <c r="L174" t="s">
        <v>79</v>
      </c>
      <c r="M174" t="s">
        <v>55</v>
      </c>
      <c r="N174" t="s">
        <v>28</v>
      </c>
      <c r="O174" s="4">
        <v>46244</v>
      </c>
      <c r="P174" s="2">
        <v>46245</v>
      </c>
      <c r="Q174" t="s">
        <v>39</v>
      </c>
      <c r="T174" s="10">
        <f t="shared" si="9"/>
        <v>1</v>
      </c>
      <c r="U174" s="13" t="str">
        <f t="shared" si="11"/>
        <v>Slightly Delayed</v>
      </c>
      <c r="V174" s="15" t="str">
        <f t="shared" si="10"/>
        <v>August</v>
      </c>
    </row>
    <row r="175" spans="1:22" x14ac:dyDescent="0.25">
      <c r="A175" t="s">
        <v>317</v>
      </c>
      <c r="B175" s="4">
        <v>46207</v>
      </c>
      <c r="C175" t="s">
        <v>180</v>
      </c>
      <c r="D175" t="s">
        <v>181</v>
      </c>
      <c r="E175" t="s">
        <v>33</v>
      </c>
      <c r="F175" t="s">
        <v>34</v>
      </c>
      <c r="G175" t="s">
        <v>35</v>
      </c>
      <c r="H175" t="s">
        <v>36</v>
      </c>
      <c r="I175">
        <v>3</v>
      </c>
      <c r="J175">
        <v>3200</v>
      </c>
      <c r="K175">
        <v>9600</v>
      </c>
      <c r="L175" t="s">
        <v>79</v>
      </c>
      <c r="M175" t="s">
        <v>55</v>
      </c>
      <c r="N175" t="s">
        <v>56</v>
      </c>
      <c r="O175" s="4">
        <v>46213</v>
      </c>
      <c r="P175" s="2">
        <v>46212</v>
      </c>
      <c r="Q175" t="s">
        <v>101</v>
      </c>
      <c r="R175" t="s">
        <v>57</v>
      </c>
      <c r="T175" s="10">
        <f t="shared" si="9"/>
        <v>-1</v>
      </c>
      <c r="U175" s="13" t="str">
        <f t="shared" si="11"/>
        <v>On Time</v>
      </c>
      <c r="V175" s="15" t="str">
        <f t="shared" si="10"/>
        <v>July</v>
      </c>
    </row>
    <row r="176" spans="1:22" x14ac:dyDescent="0.25">
      <c r="A176" t="s">
        <v>318</v>
      </c>
      <c r="B176" s="4">
        <v>46232</v>
      </c>
      <c r="C176" t="s">
        <v>157</v>
      </c>
      <c r="D176" t="s">
        <v>158</v>
      </c>
      <c r="E176" t="s">
        <v>96</v>
      </c>
      <c r="F176" t="s">
        <v>97</v>
      </c>
      <c r="G176" t="s">
        <v>98</v>
      </c>
      <c r="H176" t="s">
        <v>47</v>
      </c>
      <c r="I176">
        <v>3</v>
      </c>
      <c r="J176">
        <v>1450</v>
      </c>
      <c r="K176">
        <v>4350</v>
      </c>
      <c r="L176" t="s">
        <v>48</v>
      </c>
      <c r="M176" t="s">
        <v>55</v>
      </c>
      <c r="N176" t="s">
        <v>89</v>
      </c>
      <c r="O176" s="4">
        <v>46235</v>
      </c>
      <c r="P176" s="2"/>
      <c r="Q176" t="s">
        <v>101</v>
      </c>
      <c r="T176" s="10" t="str">
        <f t="shared" si="9"/>
        <v/>
      </c>
      <c r="U176" s="13" t="str">
        <f t="shared" si="11"/>
        <v>Not Delivered</v>
      </c>
      <c r="V176" s="15" t="str">
        <f t="shared" si="10"/>
        <v>July</v>
      </c>
    </row>
    <row r="177" spans="1:22" x14ac:dyDescent="0.25">
      <c r="A177" t="s">
        <v>319</v>
      </c>
      <c r="B177" s="4">
        <v>46240</v>
      </c>
      <c r="C177" t="s">
        <v>76</v>
      </c>
      <c r="D177" t="s">
        <v>77</v>
      </c>
      <c r="E177" t="s">
        <v>88</v>
      </c>
      <c r="F177" t="s">
        <v>59</v>
      </c>
      <c r="G177" t="s">
        <v>60</v>
      </c>
      <c r="H177" t="s">
        <v>47</v>
      </c>
      <c r="I177">
        <v>1</v>
      </c>
      <c r="J177">
        <v>350</v>
      </c>
      <c r="K177">
        <v>350</v>
      </c>
      <c r="L177" t="s">
        <v>79</v>
      </c>
      <c r="M177" t="s">
        <v>55</v>
      </c>
      <c r="N177" t="s">
        <v>28</v>
      </c>
      <c r="O177" s="4">
        <v>46246</v>
      </c>
      <c r="P177" s="2">
        <v>46248</v>
      </c>
      <c r="Q177" t="s">
        <v>29</v>
      </c>
      <c r="T177" s="10">
        <f t="shared" si="9"/>
        <v>2</v>
      </c>
      <c r="U177" s="13" t="str">
        <f t="shared" si="11"/>
        <v>Slightly Delayed</v>
      </c>
      <c r="V177" s="15" t="str">
        <f t="shared" si="10"/>
        <v>August</v>
      </c>
    </row>
    <row r="178" spans="1:22" x14ac:dyDescent="0.25">
      <c r="A178" t="s">
        <v>320</v>
      </c>
      <c r="B178" s="4">
        <v>46206</v>
      </c>
      <c r="C178" t="s">
        <v>94</v>
      </c>
      <c r="D178" t="s">
        <v>95</v>
      </c>
      <c r="E178" t="s">
        <v>96</v>
      </c>
      <c r="F178" t="s">
        <v>136</v>
      </c>
      <c r="G178" t="s">
        <v>137</v>
      </c>
      <c r="H178" t="s">
        <v>47</v>
      </c>
      <c r="I178">
        <v>1</v>
      </c>
      <c r="J178">
        <v>650</v>
      </c>
      <c r="K178">
        <v>650</v>
      </c>
      <c r="L178" t="s">
        <v>61</v>
      </c>
      <c r="M178" t="s">
        <v>55</v>
      </c>
      <c r="N178" t="s">
        <v>155</v>
      </c>
      <c r="O178" s="4">
        <v>46211</v>
      </c>
      <c r="P178" s="2"/>
      <c r="Q178" t="s">
        <v>29</v>
      </c>
      <c r="T178" s="10" t="str">
        <f t="shared" si="9"/>
        <v/>
      </c>
      <c r="U178" s="13" t="str">
        <f t="shared" si="11"/>
        <v>Not Delivered</v>
      </c>
      <c r="V178" s="15" t="str">
        <f t="shared" si="10"/>
        <v>July</v>
      </c>
    </row>
    <row r="179" spans="1:22" x14ac:dyDescent="0.25">
      <c r="A179" t="s">
        <v>321</v>
      </c>
      <c r="B179" s="4">
        <v>46242</v>
      </c>
      <c r="C179" t="s">
        <v>63</v>
      </c>
      <c r="D179" t="s">
        <v>64</v>
      </c>
      <c r="E179" t="s">
        <v>353</v>
      </c>
      <c r="F179" t="s">
        <v>119</v>
      </c>
      <c r="G179" t="s">
        <v>120</v>
      </c>
      <c r="H179" t="s">
        <v>113</v>
      </c>
      <c r="I179">
        <v>2</v>
      </c>
      <c r="J179">
        <v>1400</v>
      </c>
      <c r="K179">
        <v>2800</v>
      </c>
      <c r="L179" t="s">
        <v>61</v>
      </c>
      <c r="M179" t="s">
        <v>55</v>
      </c>
      <c r="N179" t="s">
        <v>56</v>
      </c>
      <c r="O179" s="4">
        <v>46245</v>
      </c>
      <c r="P179" s="2">
        <v>46244</v>
      </c>
      <c r="Q179" t="s">
        <v>29</v>
      </c>
      <c r="R179" t="s">
        <v>322</v>
      </c>
      <c r="T179" s="10">
        <f t="shared" si="9"/>
        <v>-1</v>
      </c>
      <c r="U179" s="13" t="str">
        <f t="shared" si="11"/>
        <v>On Time</v>
      </c>
      <c r="V179" s="15" t="str">
        <f t="shared" si="10"/>
        <v>August</v>
      </c>
    </row>
    <row r="180" spans="1:22" x14ac:dyDescent="0.25">
      <c r="A180" t="s">
        <v>323</v>
      </c>
      <c r="B180" s="4">
        <v>46267</v>
      </c>
      <c r="C180" t="s">
        <v>109</v>
      </c>
      <c r="D180" t="s">
        <v>110</v>
      </c>
      <c r="E180" t="s">
        <v>105</v>
      </c>
      <c r="F180" t="s">
        <v>97</v>
      </c>
      <c r="G180" t="s">
        <v>98</v>
      </c>
      <c r="H180" t="s">
        <v>47</v>
      </c>
      <c r="I180">
        <v>1</v>
      </c>
      <c r="J180">
        <v>1450</v>
      </c>
      <c r="K180">
        <v>1450</v>
      </c>
      <c r="L180" t="s">
        <v>48</v>
      </c>
      <c r="M180" t="s">
        <v>27</v>
      </c>
      <c r="N180" t="s">
        <v>155</v>
      </c>
      <c r="O180" s="4">
        <v>46274</v>
      </c>
      <c r="P180" s="2"/>
      <c r="Q180" t="s">
        <v>49</v>
      </c>
      <c r="T180" s="10" t="str">
        <f t="shared" si="9"/>
        <v/>
      </c>
      <c r="U180" s="13" t="str">
        <f t="shared" si="11"/>
        <v>Not Delivered</v>
      </c>
      <c r="V180" s="15" t="str">
        <f t="shared" si="10"/>
        <v>September</v>
      </c>
    </row>
    <row r="181" spans="1:22" x14ac:dyDescent="0.25">
      <c r="A181" t="s">
        <v>324</v>
      </c>
      <c r="B181" s="4">
        <v>46204</v>
      </c>
      <c r="C181" t="s">
        <v>76</v>
      </c>
      <c r="D181" t="s">
        <v>77</v>
      </c>
      <c r="E181" t="s">
        <v>88</v>
      </c>
      <c r="F181" t="s">
        <v>119</v>
      </c>
      <c r="G181" t="s">
        <v>120</v>
      </c>
      <c r="H181" t="s">
        <v>113</v>
      </c>
      <c r="I181">
        <v>4</v>
      </c>
      <c r="J181">
        <v>1400</v>
      </c>
      <c r="K181">
        <v>5600</v>
      </c>
      <c r="L181" t="s">
        <v>61</v>
      </c>
      <c r="M181" t="s">
        <v>55</v>
      </c>
      <c r="N181" t="s">
        <v>67</v>
      </c>
      <c r="O181" s="4">
        <v>46211</v>
      </c>
      <c r="P181" s="2"/>
      <c r="Q181" t="s">
        <v>29</v>
      </c>
      <c r="T181" s="10" t="str">
        <f t="shared" si="9"/>
        <v/>
      </c>
      <c r="U181" s="13" t="str">
        <f t="shared" si="11"/>
        <v>Not Delivered</v>
      </c>
      <c r="V181" s="15" t="str">
        <f t="shared" si="10"/>
        <v>July</v>
      </c>
    </row>
    <row r="182" spans="1:22" x14ac:dyDescent="0.25">
      <c r="A182" t="s">
        <v>325</v>
      </c>
      <c r="B182" s="4">
        <v>46212</v>
      </c>
      <c r="C182" t="s">
        <v>139</v>
      </c>
      <c r="D182" t="s">
        <v>140</v>
      </c>
      <c r="E182" t="s">
        <v>96</v>
      </c>
      <c r="F182" t="s">
        <v>97</v>
      </c>
      <c r="G182" t="s">
        <v>98</v>
      </c>
      <c r="H182" t="s">
        <v>47</v>
      </c>
      <c r="I182">
        <v>3</v>
      </c>
      <c r="J182">
        <v>1450</v>
      </c>
      <c r="K182">
        <v>4350</v>
      </c>
      <c r="L182" t="s">
        <v>74</v>
      </c>
      <c r="M182" t="s">
        <v>27</v>
      </c>
      <c r="N182" t="s">
        <v>28</v>
      </c>
      <c r="O182" s="4">
        <v>46219</v>
      </c>
      <c r="P182" s="2">
        <v>46220</v>
      </c>
      <c r="Q182" t="s">
        <v>39</v>
      </c>
      <c r="T182" s="10">
        <f t="shared" si="9"/>
        <v>1</v>
      </c>
      <c r="U182" s="13" t="str">
        <f t="shared" si="11"/>
        <v>Slightly Delayed</v>
      </c>
      <c r="V182" s="15" t="str">
        <f t="shared" si="10"/>
        <v>July</v>
      </c>
    </row>
    <row r="183" spans="1:22" x14ac:dyDescent="0.25">
      <c r="A183" t="s">
        <v>326</v>
      </c>
      <c r="B183" s="4">
        <v>46285</v>
      </c>
      <c r="C183" t="s">
        <v>157</v>
      </c>
      <c r="D183" t="s">
        <v>158</v>
      </c>
      <c r="E183" t="s">
        <v>96</v>
      </c>
      <c r="F183" t="s">
        <v>233</v>
      </c>
      <c r="G183" t="s">
        <v>234</v>
      </c>
      <c r="H183" t="s">
        <v>36</v>
      </c>
      <c r="I183">
        <v>1</v>
      </c>
      <c r="J183">
        <v>750</v>
      </c>
      <c r="K183">
        <v>750</v>
      </c>
      <c r="L183" t="s">
        <v>48</v>
      </c>
      <c r="M183" t="s">
        <v>55</v>
      </c>
      <c r="N183" t="s">
        <v>28</v>
      </c>
      <c r="O183" s="4">
        <v>46291</v>
      </c>
      <c r="P183" s="2">
        <v>46291</v>
      </c>
      <c r="Q183" t="s">
        <v>101</v>
      </c>
      <c r="T183" s="10">
        <f t="shared" si="9"/>
        <v>0</v>
      </c>
      <c r="U183" s="13" t="str">
        <f t="shared" si="11"/>
        <v>On Time</v>
      </c>
      <c r="V183" s="15" t="str">
        <f t="shared" si="10"/>
        <v>September</v>
      </c>
    </row>
    <row r="184" spans="1:22" x14ac:dyDescent="0.25">
      <c r="A184" t="s">
        <v>327</v>
      </c>
      <c r="B184" s="4">
        <v>46288</v>
      </c>
      <c r="C184" t="s">
        <v>51</v>
      </c>
      <c r="D184" t="s">
        <v>52</v>
      </c>
      <c r="E184" t="s">
        <v>44</v>
      </c>
      <c r="F184" t="s">
        <v>133</v>
      </c>
      <c r="G184" t="s">
        <v>134</v>
      </c>
      <c r="H184" t="s">
        <v>113</v>
      </c>
      <c r="I184">
        <v>2</v>
      </c>
      <c r="J184">
        <v>2200</v>
      </c>
      <c r="K184">
        <v>4400</v>
      </c>
      <c r="L184" t="s">
        <v>26</v>
      </c>
      <c r="M184" t="s">
        <v>27</v>
      </c>
      <c r="N184" t="s">
        <v>28</v>
      </c>
      <c r="O184" s="4">
        <v>46291</v>
      </c>
      <c r="P184" s="2">
        <v>46294</v>
      </c>
      <c r="Q184" t="s">
        <v>49</v>
      </c>
      <c r="T184" s="10">
        <f t="shared" si="9"/>
        <v>3</v>
      </c>
      <c r="U184" s="13" t="str">
        <f t="shared" si="11"/>
        <v>Delayed</v>
      </c>
      <c r="V184" s="15" t="str">
        <f t="shared" si="10"/>
        <v>September</v>
      </c>
    </row>
    <row r="185" spans="1:22" x14ac:dyDescent="0.25">
      <c r="A185" t="s">
        <v>328</v>
      </c>
      <c r="B185" s="4">
        <v>46286</v>
      </c>
      <c r="C185" t="s">
        <v>69</v>
      </c>
      <c r="D185" t="s">
        <v>70</v>
      </c>
      <c r="E185" t="s">
        <v>71</v>
      </c>
      <c r="F185" t="s">
        <v>133</v>
      </c>
      <c r="G185" t="s">
        <v>134</v>
      </c>
      <c r="H185" t="s">
        <v>113</v>
      </c>
      <c r="I185">
        <v>3</v>
      </c>
      <c r="J185">
        <v>2200</v>
      </c>
      <c r="K185">
        <v>6600</v>
      </c>
      <c r="L185" t="s">
        <v>79</v>
      </c>
      <c r="M185" t="s">
        <v>27</v>
      </c>
      <c r="N185" t="s">
        <v>28</v>
      </c>
      <c r="O185" s="4">
        <v>46290</v>
      </c>
      <c r="P185" s="2">
        <v>46293</v>
      </c>
      <c r="Q185" t="s">
        <v>29</v>
      </c>
      <c r="T185" s="10">
        <f t="shared" si="9"/>
        <v>3</v>
      </c>
      <c r="U185" s="13" t="str">
        <f t="shared" si="11"/>
        <v>Delayed</v>
      </c>
      <c r="V185" s="15" t="str">
        <f t="shared" si="10"/>
        <v>September</v>
      </c>
    </row>
    <row r="186" spans="1:22" x14ac:dyDescent="0.25">
      <c r="A186" t="s">
        <v>329</v>
      </c>
      <c r="B186" s="4">
        <v>46295</v>
      </c>
      <c r="C186" t="s">
        <v>139</v>
      </c>
      <c r="D186" t="s">
        <v>140</v>
      </c>
      <c r="E186" t="s">
        <v>96</v>
      </c>
      <c r="F186" t="s">
        <v>59</v>
      </c>
      <c r="G186" t="s">
        <v>60</v>
      </c>
      <c r="H186" t="s">
        <v>47</v>
      </c>
      <c r="I186">
        <v>1</v>
      </c>
      <c r="J186">
        <v>350</v>
      </c>
      <c r="K186">
        <v>350</v>
      </c>
      <c r="L186" t="s">
        <v>61</v>
      </c>
      <c r="M186" t="s">
        <v>55</v>
      </c>
      <c r="N186" t="s">
        <v>28</v>
      </c>
      <c r="O186" s="4">
        <v>46301</v>
      </c>
      <c r="P186" s="2">
        <v>46300</v>
      </c>
      <c r="Q186" t="s">
        <v>39</v>
      </c>
      <c r="T186" s="10">
        <f t="shared" si="9"/>
        <v>-1</v>
      </c>
      <c r="U186" s="13" t="str">
        <f t="shared" si="11"/>
        <v>On Time</v>
      </c>
      <c r="V186" s="15" t="str">
        <f t="shared" si="10"/>
        <v>September</v>
      </c>
    </row>
    <row r="187" spans="1:22" x14ac:dyDescent="0.25">
      <c r="A187" t="s">
        <v>330</v>
      </c>
      <c r="B187" s="4">
        <v>46243</v>
      </c>
      <c r="C187" t="s">
        <v>20</v>
      </c>
      <c r="D187" t="s">
        <v>21</v>
      </c>
      <c r="E187" t="s">
        <v>22</v>
      </c>
      <c r="F187" t="s">
        <v>53</v>
      </c>
      <c r="G187" t="s">
        <v>54</v>
      </c>
      <c r="H187" t="s">
        <v>47</v>
      </c>
      <c r="I187">
        <v>3</v>
      </c>
      <c r="J187">
        <v>850</v>
      </c>
      <c r="K187">
        <v>2550</v>
      </c>
      <c r="L187" t="s">
        <v>79</v>
      </c>
      <c r="M187" t="s">
        <v>27</v>
      </c>
      <c r="N187" t="s">
        <v>28</v>
      </c>
      <c r="O187" s="4">
        <v>46250</v>
      </c>
      <c r="P187" s="2">
        <v>46251</v>
      </c>
      <c r="Q187" t="s">
        <v>101</v>
      </c>
      <c r="T187" s="10">
        <f t="shared" si="9"/>
        <v>1</v>
      </c>
      <c r="U187" s="13" t="str">
        <f t="shared" si="11"/>
        <v>Slightly Delayed</v>
      </c>
      <c r="V187" s="15" t="str">
        <f t="shared" si="10"/>
        <v>August</v>
      </c>
    </row>
    <row r="188" spans="1:22" x14ac:dyDescent="0.25">
      <c r="A188" t="s">
        <v>331</v>
      </c>
      <c r="B188" s="4">
        <v>46249</v>
      </c>
      <c r="C188" t="s">
        <v>69</v>
      </c>
      <c r="D188" t="s">
        <v>70</v>
      </c>
      <c r="E188" t="s">
        <v>71</v>
      </c>
      <c r="F188" t="s">
        <v>106</v>
      </c>
      <c r="G188" t="s">
        <v>107</v>
      </c>
      <c r="H188" t="s">
        <v>47</v>
      </c>
      <c r="I188">
        <v>3</v>
      </c>
      <c r="J188">
        <v>2500</v>
      </c>
      <c r="K188">
        <v>7500</v>
      </c>
      <c r="L188" t="s">
        <v>26</v>
      </c>
      <c r="M188" t="s">
        <v>27</v>
      </c>
      <c r="N188" t="s">
        <v>155</v>
      </c>
      <c r="O188" s="4">
        <v>46252</v>
      </c>
      <c r="P188" s="2"/>
      <c r="Q188" t="s">
        <v>101</v>
      </c>
      <c r="T188" s="10" t="str">
        <f t="shared" si="9"/>
        <v/>
      </c>
      <c r="U188" s="13" t="str">
        <f t="shared" si="11"/>
        <v>Not Delivered</v>
      </c>
      <c r="V188" s="15" t="str">
        <f t="shared" si="10"/>
        <v>August</v>
      </c>
    </row>
    <row r="189" spans="1:22" x14ac:dyDescent="0.25">
      <c r="A189" t="s">
        <v>332</v>
      </c>
      <c r="B189" s="4">
        <v>46255</v>
      </c>
      <c r="C189" t="s">
        <v>63</v>
      </c>
      <c r="D189" t="s">
        <v>64</v>
      </c>
      <c r="E189" t="s">
        <v>353</v>
      </c>
      <c r="F189" t="s">
        <v>133</v>
      </c>
      <c r="G189" t="s">
        <v>134</v>
      </c>
      <c r="H189" t="s">
        <v>113</v>
      </c>
      <c r="I189">
        <v>4</v>
      </c>
      <c r="J189">
        <v>2200</v>
      </c>
      <c r="K189">
        <v>8800</v>
      </c>
      <c r="L189" t="s">
        <v>61</v>
      </c>
      <c r="M189" t="s">
        <v>55</v>
      </c>
      <c r="N189" t="s">
        <v>28</v>
      </c>
      <c r="O189" s="4">
        <v>46261</v>
      </c>
      <c r="P189" s="2">
        <v>46262</v>
      </c>
      <c r="Q189" t="s">
        <v>29</v>
      </c>
      <c r="T189" s="10">
        <f t="shared" si="9"/>
        <v>1</v>
      </c>
      <c r="U189" s="13" t="str">
        <f t="shared" si="11"/>
        <v>Slightly Delayed</v>
      </c>
      <c r="V189" s="15" t="str">
        <f t="shared" si="10"/>
        <v>August</v>
      </c>
    </row>
    <row r="190" spans="1:22" x14ac:dyDescent="0.25">
      <c r="A190" t="s">
        <v>333</v>
      </c>
      <c r="B190" s="4">
        <v>46214</v>
      </c>
      <c r="C190" t="s">
        <v>196</v>
      </c>
      <c r="D190" t="s">
        <v>197</v>
      </c>
      <c r="E190" t="s">
        <v>71</v>
      </c>
      <c r="F190" t="s">
        <v>133</v>
      </c>
      <c r="G190" t="s">
        <v>134</v>
      </c>
      <c r="H190" t="s">
        <v>113</v>
      </c>
      <c r="I190">
        <v>3</v>
      </c>
      <c r="J190">
        <v>2200</v>
      </c>
      <c r="K190">
        <v>6600</v>
      </c>
      <c r="L190" t="s">
        <v>79</v>
      </c>
      <c r="M190" t="s">
        <v>55</v>
      </c>
      <c r="N190" t="s">
        <v>67</v>
      </c>
      <c r="O190" s="4">
        <v>46220</v>
      </c>
      <c r="P190" s="2"/>
      <c r="Q190" t="s">
        <v>49</v>
      </c>
      <c r="T190" s="10" t="str">
        <f t="shared" si="9"/>
        <v/>
      </c>
      <c r="U190" s="13" t="str">
        <f t="shared" si="11"/>
        <v>Not Delivered</v>
      </c>
      <c r="V190" s="15" t="str">
        <f t="shared" si="10"/>
        <v>July</v>
      </c>
    </row>
    <row r="191" spans="1:22" x14ac:dyDescent="0.25">
      <c r="A191" t="s">
        <v>334</v>
      </c>
      <c r="B191" s="4">
        <v>46217</v>
      </c>
      <c r="C191" t="s">
        <v>42</v>
      </c>
      <c r="D191" t="s">
        <v>43</v>
      </c>
      <c r="E191" t="s">
        <v>44</v>
      </c>
      <c r="F191" t="s">
        <v>119</v>
      </c>
      <c r="G191" t="s">
        <v>120</v>
      </c>
      <c r="H191" t="s">
        <v>113</v>
      </c>
      <c r="I191">
        <v>3</v>
      </c>
      <c r="J191">
        <v>1400</v>
      </c>
      <c r="K191">
        <v>4200</v>
      </c>
      <c r="L191" t="s">
        <v>26</v>
      </c>
      <c r="M191" t="s">
        <v>27</v>
      </c>
      <c r="N191" t="s">
        <v>38</v>
      </c>
      <c r="O191" s="4">
        <v>46220</v>
      </c>
      <c r="P191" s="2"/>
      <c r="Q191" t="s">
        <v>101</v>
      </c>
      <c r="S191" t="s">
        <v>194</v>
      </c>
      <c r="T191" s="10" t="str">
        <f t="shared" si="9"/>
        <v/>
      </c>
      <c r="U191" s="13" t="str">
        <f t="shared" si="11"/>
        <v>Not Delivered</v>
      </c>
      <c r="V191" s="15" t="str">
        <f t="shared" si="10"/>
        <v>July</v>
      </c>
    </row>
    <row r="192" spans="1:22" x14ac:dyDescent="0.25">
      <c r="A192" t="s">
        <v>335</v>
      </c>
      <c r="B192" s="4">
        <v>46292</v>
      </c>
      <c r="C192" t="s">
        <v>94</v>
      </c>
      <c r="D192" t="s">
        <v>95</v>
      </c>
      <c r="E192" t="s">
        <v>96</v>
      </c>
      <c r="F192" t="s">
        <v>65</v>
      </c>
      <c r="G192" t="s">
        <v>66</v>
      </c>
      <c r="H192" t="s">
        <v>36</v>
      </c>
      <c r="I192">
        <v>2</v>
      </c>
      <c r="J192">
        <v>500</v>
      </c>
      <c r="K192">
        <v>1000</v>
      </c>
      <c r="L192" t="s">
        <v>48</v>
      </c>
      <c r="M192" t="s">
        <v>55</v>
      </c>
      <c r="N192" t="s">
        <v>28</v>
      </c>
      <c r="O192" s="4">
        <v>46298</v>
      </c>
      <c r="P192" s="2">
        <v>46298</v>
      </c>
      <c r="Q192" t="s">
        <v>101</v>
      </c>
      <c r="T192" s="10">
        <f t="shared" si="9"/>
        <v>0</v>
      </c>
      <c r="U192" s="13" t="str">
        <f t="shared" si="11"/>
        <v>On Time</v>
      </c>
      <c r="V192" s="15" t="str">
        <f t="shared" si="10"/>
        <v>September</v>
      </c>
    </row>
    <row r="193" spans="1:22" x14ac:dyDescent="0.25">
      <c r="A193" t="s">
        <v>336</v>
      </c>
      <c r="B193" s="4">
        <v>46285</v>
      </c>
      <c r="C193" t="s">
        <v>94</v>
      </c>
      <c r="D193" t="s">
        <v>95</v>
      </c>
      <c r="E193" t="s">
        <v>96</v>
      </c>
      <c r="F193" t="s">
        <v>65</v>
      </c>
      <c r="G193" t="s">
        <v>66</v>
      </c>
      <c r="H193" t="s">
        <v>36</v>
      </c>
      <c r="I193">
        <v>3</v>
      </c>
      <c r="J193">
        <v>500</v>
      </c>
      <c r="K193">
        <v>1500</v>
      </c>
      <c r="L193" t="s">
        <v>79</v>
      </c>
      <c r="M193" t="s">
        <v>55</v>
      </c>
      <c r="N193" t="s">
        <v>56</v>
      </c>
      <c r="O193" s="4">
        <v>46288</v>
      </c>
      <c r="P193" s="2">
        <v>46287</v>
      </c>
      <c r="Q193" t="s">
        <v>101</v>
      </c>
      <c r="R193" t="s">
        <v>322</v>
      </c>
      <c r="T193" s="10">
        <f t="shared" si="9"/>
        <v>-1</v>
      </c>
      <c r="U193" s="13" t="str">
        <f t="shared" si="11"/>
        <v>On Time</v>
      </c>
      <c r="V193" s="15" t="str">
        <f t="shared" si="10"/>
        <v>September</v>
      </c>
    </row>
    <row r="194" spans="1:22" x14ac:dyDescent="0.25">
      <c r="A194" t="s">
        <v>337</v>
      </c>
      <c r="B194" s="4">
        <v>46281</v>
      </c>
      <c r="C194" t="s">
        <v>139</v>
      </c>
      <c r="D194" t="s">
        <v>140</v>
      </c>
      <c r="E194" t="s">
        <v>96</v>
      </c>
      <c r="F194" t="s">
        <v>136</v>
      </c>
      <c r="G194" t="s">
        <v>137</v>
      </c>
      <c r="H194" t="s">
        <v>47</v>
      </c>
      <c r="I194">
        <v>2</v>
      </c>
      <c r="J194">
        <v>650</v>
      </c>
      <c r="K194">
        <v>1300</v>
      </c>
      <c r="L194" t="s">
        <v>48</v>
      </c>
      <c r="M194" t="s">
        <v>55</v>
      </c>
      <c r="N194" t="s">
        <v>28</v>
      </c>
      <c r="O194" s="4">
        <v>46287</v>
      </c>
      <c r="P194" s="2">
        <v>46286</v>
      </c>
      <c r="Q194" t="s">
        <v>49</v>
      </c>
      <c r="T194" s="10">
        <f t="shared" si="9"/>
        <v>-1</v>
      </c>
      <c r="U194" s="13" t="str">
        <f t="shared" ref="U194:U201" si="12">IF(T194="","Not Delivered",IF(T194&lt;=0,"On Time",IF(T194&lt;=2,"Slightly Delayed","Delayed")))</f>
        <v>On Time</v>
      </c>
      <c r="V194" s="15" t="str">
        <f t="shared" si="10"/>
        <v>September</v>
      </c>
    </row>
    <row r="195" spans="1:22" x14ac:dyDescent="0.25">
      <c r="A195" t="s">
        <v>338</v>
      </c>
      <c r="B195" s="4">
        <v>46276</v>
      </c>
      <c r="C195" t="s">
        <v>184</v>
      </c>
      <c r="D195" t="s">
        <v>185</v>
      </c>
      <c r="E195" t="s">
        <v>88</v>
      </c>
      <c r="F195" t="s">
        <v>133</v>
      </c>
      <c r="G195" t="s">
        <v>134</v>
      </c>
      <c r="H195" t="s">
        <v>113</v>
      </c>
      <c r="I195">
        <v>4</v>
      </c>
      <c r="J195">
        <v>2200</v>
      </c>
      <c r="K195">
        <v>8800</v>
      </c>
      <c r="L195" t="s">
        <v>79</v>
      </c>
      <c r="M195" t="s">
        <v>55</v>
      </c>
      <c r="N195" t="s">
        <v>28</v>
      </c>
      <c r="O195" s="4">
        <v>46279</v>
      </c>
      <c r="P195" s="2">
        <v>46280</v>
      </c>
      <c r="Q195" t="s">
        <v>101</v>
      </c>
      <c r="T195" s="10">
        <f t="shared" ref="T195:T201" si="13">IF(P195="","",P195-O195)</f>
        <v>1</v>
      </c>
      <c r="U195" s="13" t="str">
        <f t="shared" si="12"/>
        <v>Slightly Delayed</v>
      </c>
      <c r="V195" s="15" t="str">
        <f t="shared" ref="V195:V201" si="14">TEXT(B195,"mmmm")</f>
        <v>September</v>
      </c>
    </row>
    <row r="196" spans="1:22" x14ac:dyDescent="0.25">
      <c r="A196" t="s">
        <v>339</v>
      </c>
      <c r="B196" s="4">
        <v>46277</v>
      </c>
      <c r="C196" t="s">
        <v>184</v>
      </c>
      <c r="D196" t="s">
        <v>185</v>
      </c>
      <c r="E196" t="s">
        <v>88</v>
      </c>
      <c r="F196" t="s">
        <v>34</v>
      </c>
      <c r="G196" t="s">
        <v>35</v>
      </c>
      <c r="H196" t="s">
        <v>36</v>
      </c>
      <c r="I196">
        <v>1</v>
      </c>
      <c r="J196">
        <v>3200</v>
      </c>
      <c r="K196">
        <v>3200</v>
      </c>
      <c r="L196" t="s">
        <v>79</v>
      </c>
      <c r="M196" t="s">
        <v>55</v>
      </c>
      <c r="N196" t="s">
        <v>28</v>
      </c>
      <c r="O196" s="4">
        <v>46281</v>
      </c>
      <c r="P196" s="2">
        <v>46282</v>
      </c>
      <c r="Q196" t="s">
        <v>101</v>
      </c>
      <c r="T196" s="10">
        <f t="shared" si="13"/>
        <v>1</v>
      </c>
      <c r="U196" s="13" t="str">
        <f t="shared" si="12"/>
        <v>Slightly Delayed</v>
      </c>
      <c r="V196" s="15" t="str">
        <f t="shared" si="14"/>
        <v>September</v>
      </c>
    </row>
    <row r="197" spans="1:22" x14ac:dyDescent="0.25">
      <c r="A197" t="s">
        <v>340</v>
      </c>
      <c r="B197" s="4">
        <v>46207</v>
      </c>
      <c r="C197" t="s">
        <v>103</v>
      </c>
      <c r="D197" t="s">
        <v>104</v>
      </c>
      <c r="E197" t="s">
        <v>105</v>
      </c>
      <c r="F197" t="s">
        <v>45</v>
      </c>
      <c r="G197" t="s">
        <v>46</v>
      </c>
      <c r="H197" t="s">
        <v>47</v>
      </c>
      <c r="I197">
        <v>1</v>
      </c>
      <c r="J197">
        <v>1100</v>
      </c>
      <c r="K197">
        <v>1100</v>
      </c>
      <c r="L197" t="s">
        <v>79</v>
      </c>
      <c r="M197" t="s">
        <v>27</v>
      </c>
      <c r="N197" t="s">
        <v>28</v>
      </c>
      <c r="O197" s="4">
        <v>46211</v>
      </c>
      <c r="P197" s="2">
        <v>46212</v>
      </c>
      <c r="Q197" t="s">
        <v>39</v>
      </c>
      <c r="T197" s="10">
        <f t="shared" si="13"/>
        <v>1</v>
      </c>
      <c r="U197" s="13" t="str">
        <f t="shared" si="12"/>
        <v>Slightly Delayed</v>
      </c>
      <c r="V197" s="15" t="str">
        <f t="shared" si="14"/>
        <v>July</v>
      </c>
    </row>
    <row r="198" spans="1:22" x14ac:dyDescent="0.25">
      <c r="A198" t="s">
        <v>341</v>
      </c>
      <c r="B198" s="4">
        <v>46231</v>
      </c>
      <c r="C198" t="s">
        <v>103</v>
      </c>
      <c r="D198" t="s">
        <v>104</v>
      </c>
      <c r="E198" t="s">
        <v>105</v>
      </c>
      <c r="F198" t="s">
        <v>177</v>
      </c>
      <c r="G198" t="s">
        <v>178</v>
      </c>
      <c r="H198" t="s">
        <v>113</v>
      </c>
      <c r="I198">
        <v>4</v>
      </c>
      <c r="J198">
        <v>700</v>
      </c>
      <c r="K198">
        <v>2800</v>
      </c>
      <c r="L198" t="s">
        <v>79</v>
      </c>
      <c r="M198" t="s">
        <v>55</v>
      </c>
      <c r="N198" t="s">
        <v>56</v>
      </c>
      <c r="O198" s="4">
        <v>46238</v>
      </c>
      <c r="P198" s="2">
        <v>46238</v>
      </c>
      <c r="Q198" t="s">
        <v>49</v>
      </c>
      <c r="R198" t="s">
        <v>249</v>
      </c>
      <c r="T198" s="10">
        <f t="shared" si="13"/>
        <v>0</v>
      </c>
      <c r="U198" s="13" t="str">
        <f t="shared" si="12"/>
        <v>On Time</v>
      </c>
      <c r="V198" s="15" t="str">
        <f t="shared" si="14"/>
        <v>July</v>
      </c>
    </row>
    <row r="199" spans="1:22" x14ac:dyDescent="0.25">
      <c r="A199" t="s">
        <v>342</v>
      </c>
      <c r="B199" s="4">
        <v>46226</v>
      </c>
      <c r="C199" t="s">
        <v>76</v>
      </c>
      <c r="D199" t="s">
        <v>77</v>
      </c>
      <c r="E199" t="s">
        <v>88</v>
      </c>
      <c r="F199" t="s">
        <v>97</v>
      </c>
      <c r="G199" t="s">
        <v>98</v>
      </c>
      <c r="H199" t="s">
        <v>47</v>
      </c>
      <c r="I199">
        <v>4</v>
      </c>
      <c r="J199">
        <v>1450</v>
      </c>
      <c r="K199">
        <v>5800</v>
      </c>
      <c r="L199" t="s">
        <v>26</v>
      </c>
      <c r="M199" t="s">
        <v>27</v>
      </c>
      <c r="N199" t="s">
        <v>28</v>
      </c>
      <c r="O199" s="4">
        <v>46232</v>
      </c>
      <c r="P199" s="2">
        <v>46231</v>
      </c>
      <c r="Q199" t="s">
        <v>101</v>
      </c>
      <c r="T199" s="10">
        <f t="shared" si="13"/>
        <v>-1</v>
      </c>
      <c r="U199" s="13" t="str">
        <f t="shared" si="12"/>
        <v>On Time</v>
      </c>
      <c r="V199" s="15" t="str">
        <f t="shared" si="14"/>
        <v>July</v>
      </c>
    </row>
    <row r="200" spans="1:22" x14ac:dyDescent="0.25">
      <c r="A200" t="s">
        <v>343</v>
      </c>
      <c r="B200" s="4">
        <v>46242</v>
      </c>
      <c r="C200" t="s">
        <v>51</v>
      </c>
      <c r="D200" t="s">
        <v>52</v>
      </c>
      <c r="E200" t="s">
        <v>44</v>
      </c>
      <c r="F200" t="s">
        <v>23</v>
      </c>
      <c r="G200" t="s">
        <v>24</v>
      </c>
      <c r="H200" t="s">
        <v>25</v>
      </c>
      <c r="I200">
        <v>3</v>
      </c>
      <c r="J200">
        <v>120</v>
      </c>
      <c r="K200">
        <v>360</v>
      </c>
      <c r="L200" t="s">
        <v>61</v>
      </c>
      <c r="M200" t="s">
        <v>27</v>
      </c>
      <c r="N200" t="s">
        <v>28</v>
      </c>
      <c r="O200" s="4">
        <v>46246</v>
      </c>
      <c r="P200" s="2">
        <v>46248</v>
      </c>
      <c r="Q200" t="s">
        <v>101</v>
      </c>
      <c r="T200" s="10">
        <f t="shared" si="13"/>
        <v>2</v>
      </c>
      <c r="U200" s="13" t="str">
        <f t="shared" si="12"/>
        <v>Slightly Delayed</v>
      </c>
      <c r="V200" s="15" t="str">
        <f t="shared" si="14"/>
        <v>August</v>
      </c>
    </row>
    <row r="201" spans="1:22" x14ac:dyDescent="0.25">
      <c r="A201" t="s">
        <v>344</v>
      </c>
      <c r="B201" s="4">
        <v>46229</v>
      </c>
      <c r="C201" t="s">
        <v>31</v>
      </c>
      <c r="D201" t="s">
        <v>32</v>
      </c>
      <c r="E201" t="s">
        <v>33</v>
      </c>
      <c r="F201" t="s">
        <v>45</v>
      </c>
      <c r="G201" t="s">
        <v>46</v>
      </c>
      <c r="H201" t="s">
        <v>47</v>
      </c>
      <c r="I201">
        <v>1</v>
      </c>
      <c r="J201">
        <v>1100</v>
      </c>
      <c r="K201">
        <v>1100</v>
      </c>
      <c r="L201" t="s">
        <v>79</v>
      </c>
      <c r="M201" t="s">
        <v>55</v>
      </c>
      <c r="N201" t="s">
        <v>100</v>
      </c>
      <c r="O201" s="4">
        <v>46233</v>
      </c>
      <c r="P201" s="2">
        <v>46236</v>
      </c>
      <c r="Q201" t="s">
        <v>39</v>
      </c>
      <c r="T201">
        <f t="shared" si="13"/>
        <v>3</v>
      </c>
      <c r="U201" s="13" t="str">
        <f t="shared" si="12"/>
        <v>Delayed</v>
      </c>
      <c r="V201" s="15" t="str">
        <f t="shared" si="14"/>
        <v>July</v>
      </c>
    </row>
  </sheetData>
  <phoneticPr fontId="4" type="noConversion"/>
  <dataValidations count="3">
    <dataValidation type="list" allowBlank="1" showInputMessage="1" showErrorMessage="1" sqref="N2:N201" xr:uid="{6BB3B95A-B894-479B-9DCF-1BA2D306B3AC}">
      <formula1>"Placed,Confirmed,Shipped,Out for Delivery,Delivered,Cancelled,Returned"</formula1>
    </dataValidation>
    <dataValidation type="list" allowBlank="1" showInputMessage="1" showErrorMessage="1" sqref="M1:M201" xr:uid="{65B70FC0-AB5D-4953-9E5F-525AF2AE2800}">
      <formula1>"Paid,Pending,Failed,Refunded"</formula1>
    </dataValidation>
    <dataValidation type="list" allowBlank="1" showInputMessage="1" showErrorMessage="1" sqref="L1:L201" xr:uid="{A4A9C3D6-13F8-4A45-A341-EE2042764EA9}">
      <formula1>"UPI,Debit Card,Credit Card,Cash on Delivery,Net Banking"</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E9B96-08C6-4937-8945-09EFC6F87D79}">
  <dimension ref="A3:B8"/>
  <sheetViews>
    <sheetView workbookViewId="0">
      <selection activeCell="N11" sqref="N11"/>
    </sheetView>
  </sheetViews>
  <sheetFormatPr defaultRowHeight="15" x14ac:dyDescent="0.25"/>
  <cols>
    <col min="1" max="1" width="15.42578125" bestFit="1" customWidth="1"/>
    <col min="2" max="2" width="20.42578125" bestFit="1" customWidth="1"/>
  </cols>
  <sheetData>
    <row r="3" spans="1:2" x14ac:dyDescent="0.25">
      <c r="A3" s="7" t="s">
        <v>355</v>
      </c>
      <c r="B3" t="s">
        <v>357</v>
      </c>
    </row>
    <row r="4" spans="1:2" x14ac:dyDescent="0.25">
      <c r="A4" s="8" t="s">
        <v>47</v>
      </c>
      <c r="B4">
        <v>254750</v>
      </c>
    </row>
    <row r="5" spans="1:2" x14ac:dyDescent="0.25">
      <c r="A5" s="8" t="s">
        <v>113</v>
      </c>
      <c r="B5">
        <v>178550</v>
      </c>
    </row>
    <row r="6" spans="1:2" x14ac:dyDescent="0.25">
      <c r="A6" s="8" t="s">
        <v>36</v>
      </c>
      <c r="B6">
        <v>150450</v>
      </c>
    </row>
    <row r="7" spans="1:2" x14ac:dyDescent="0.25">
      <c r="A7" s="8" t="s">
        <v>25</v>
      </c>
      <c r="B7">
        <v>25970</v>
      </c>
    </row>
    <row r="8" spans="1:2" x14ac:dyDescent="0.25">
      <c r="A8" s="8" t="s">
        <v>356</v>
      </c>
      <c r="B8">
        <v>609720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EFD06-6341-44E9-A296-14FD643BA51F}">
  <dimension ref="A3:B12"/>
  <sheetViews>
    <sheetView workbookViewId="0">
      <selection activeCell="N5" sqref="N5"/>
    </sheetView>
  </sheetViews>
  <sheetFormatPr defaultRowHeight="15" x14ac:dyDescent="0.25"/>
  <cols>
    <col min="1" max="1" width="13.140625" bestFit="1" customWidth="1"/>
    <col min="2" max="2" width="17.28515625" bestFit="1" customWidth="1"/>
  </cols>
  <sheetData>
    <row r="3" spans="1:2" x14ac:dyDescent="0.25">
      <c r="A3" s="7" t="s">
        <v>355</v>
      </c>
      <c r="B3" t="s">
        <v>358</v>
      </c>
    </row>
    <row r="4" spans="1:2" x14ac:dyDescent="0.25">
      <c r="A4" s="8" t="s">
        <v>105</v>
      </c>
      <c r="B4">
        <v>29</v>
      </c>
    </row>
    <row r="5" spans="1:2" x14ac:dyDescent="0.25">
      <c r="A5" s="8" t="s">
        <v>44</v>
      </c>
      <c r="B5">
        <v>31</v>
      </c>
    </row>
    <row r="6" spans="1:2" x14ac:dyDescent="0.25">
      <c r="A6" s="8" t="s">
        <v>33</v>
      </c>
      <c r="B6">
        <v>16</v>
      </c>
    </row>
    <row r="7" spans="1:2" x14ac:dyDescent="0.25">
      <c r="A7" s="8" t="s">
        <v>88</v>
      </c>
      <c r="B7">
        <v>28</v>
      </c>
    </row>
    <row r="8" spans="1:2" x14ac:dyDescent="0.25">
      <c r="A8" s="8" t="s">
        <v>22</v>
      </c>
      <c r="B8">
        <v>20</v>
      </c>
    </row>
    <row r="9" spans="1:2" x14ac:dyDescent="0.25">
      <c r="A9" s="8" t="s">
        <v>96</v>
      </c>
      <c r="B9">
        <v>30</v>
      </c>
    </row>
    <row r="10" spans="1:2" x14ac:dyDescent="0.25">
      <c r="A10" s="8" t="s">
        <v>353</v>
      </c>
      <c r="B10">
        <v>15</v>
      </c>
    </row>
    <row r="11" spans="1:2" x14ac:dyDescent="0.25">
      <c r="A11" s="8" t="s">
        <v>71</v>
      </c>
      <c r="B11">
        <v>31</v>
      </c>
    </row>
    <row r="12" spans="1:2" x14ac:dyDescent="0.25">
      <c r="A12" s="8" t="s">
        <v>356</v>
      </c>
      <c r="B12">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8818-B6AA-41D3-94AB-1CEB41AD0733}">
  <dimension ref="A3:B9"/>
  <sheetViews>
    <sheetView zoomScale="105" workbookViewId="0">
      <selection activeCell="M9" sqref="M9"/>
    </sheetView>
  </sheetViews>
  <sheetFormatPr defaultRowHeight="15" x14ac:dyDescent="0.25"/>
  <cols>
    <col min="1" max="1" width="15.85546875" bestFit="1" customWidth="1"/>
    <col min="2" max="2" width="17.28515625" bestFit="1" customWidth="1"/>
  </cols>
  <sheetData>
    <row r="3" spans="1:2" x14ac:dyDescent="0.25">
      <c r="A3" s="7" t="s">
        <v>355</v>
      </c>
      <c r="B3" t="s">
        <v>358</v>
      </c>
    </row>
    <row r="4" spans="1:2" x14ac:dyDescent="0.25">
      <c r="A4" s="8" t="s">
        <v>79</v>
      </c>
      <c r="B4">
        <v>46</v>
      </c>
    </row>
    <row r="5" spans="1:2" x14ac:dyDescent="0.25">
      <c r="A5" s="8" t="s">
        <v>61</v>
      </c>
      <c r="B5">
        <v>35</v>
      </c>
    </row>
    <row r="6" spans="1:2" x14ac:dyDescent="0.25">
      <c r="A6" s="8" t="s">
        <v>26</v>
      </c>
      <c r="B6">
        <v>49</v>
      </c>
    </row>
    <row r="7" spans="1:2" x14ac:dyDescent="0.25">
      <c r="A7" s="8" t="s">
        <v>74</v>
      </c>
      <c r="B7">
        <v>32</v>
      </c>
    </row>
    <row r="8" spans="1:2" x14ac:dyDescent="0.25">
      <c r="A8" s="8" t="s">
        <v>48</v>
      </c>
      <c r="B8">
        <v>38</v>
      </c>
    </row>
    <row r="9" spans="1:2" x14ac:dyDescent="0.25">
      <c r="A9" s="8" t="s">
        <v>356</v>
      </c>
      <c r="B9">
        <v>200</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17BFC-E9FC-4B3D-A87C-AEE608392040}">
  <dimension ref="A3:B8"/>
  <sheetViews>
    <sheetView workbookViewId="0">
      <selection activeCell="L11" sqref="L11"/>
    </sheetView>
  </sheetViews>
  <sheetFormatPr defaultRowHeight="15" x14ac:dyDescent="0.25"/>
  <cols>
    <col min="1" max="1" width="15.42578125" bestFit="1" customWidth="1"/>
    <col min="2" max="2" width="17.28515625" bestFit="1" customWidth="1"/>
  </cols>
  <sheetData>
    <row r="3" spans="1:2" x14ac:dyDescent="0.25">
      <c r="A3" s="7" t="s">
        <v>355</v>
      </c>
      <c r="B3" t="s">
        <v>358</v>
      </c>
    </row>
    <row r="4" spans="1:2" x14ac:dyDescent="0.25">
      <c r="A4" s="8" t="s">
        <v>361</v>
      </c>
      <c r="B4">
        <v>13</v>
      </c>
    </row>
    <row r="5" spans="1:2" x14ac:dyDescent="0.25">
      <c r="A5" s="8" t="s">
        <v>362</v>
      </c>
      <c r="B5">
        <v>72</v>
      </c>
    </row>
    <row r="6" spans="1:2" x14ac:dyDescent="0.25">
      <c r="A6" s="8" t="s">
        <v>363</v>
      </c>
      <c r="B6">
        <v>58</v>
      </c>
    </row>
    <row r="7" spans="1:2" x14ac:dyDescent="0.25">
      <c r="A7" s="8" t="s">
        <v>364</v>
      </c>
      <c r="B7">
        <v>57</v>
      </c>
    </row>
    <row r="8" spans="1:2" x14ac:dyDescent="0.25">
      <c r="A8" s="8" t="s">
        <v>356</v>
      </c>
      <c r="B8">
        <v>200</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264D-6CE2-40E8-B4FC-410D10035374}">
  <dimension ref="A3:B11"/>
  <sheetViews>
    <sheetView workbookViewId="0">
      <selection activeCell="B5" sqref="B5"/>
    </sheetView>
  </sheetViews>
  <sheetFormatPr defaultRowHeight="15" x14ac:dyDescent="0.25"/>
  <cols>
    <col min="1" max="1" width="15.28515625" bestFit="1" customWidth="1"/>
    <col min="2" max="2" width="17.28515625" bestFit="1" customWidth="1"/>
  </cols>
  <sheetData>
    <row r="3" spans="1:2" x14ac:dyDescent="0.25">
      <c r="A3" s="7" t="s">
        <v>355</v>
      </c>
      <c r="B3" t="s">
        <v>358</v>
      </c>
    </row>
    <row r="4" spans="1:2" x14ac:dyDescent="0.25">
      <c r="A4" s="8" t="s">
        <v>38</v>
      </c>
      <c r="B4">
        <v>15</v>
      </c>
    </row>
    <row r="5" spans="1:2" x14ac:dyDescent="0.25">
      <c r="A5" s="8" t="s">
        <v>100</v>
      </c>
      <c r="B5">
        <v>10</v>
      </c>
    </row>
    <row r="6" spans="1:2" x14ac:dyDescent="0.25">
      <c r="A6" s="8" t="s">
        <v>28</v>
      </c>
      <c r="B6">
        <v>115</v>
      </c>
    </row>
    <row r="7" spans="1:2" x14ac:dyDescent="0.25">
      <c r="A7" s="8" t="s">
        <v>155</v>
      </c>
      <c r="B7">
        <v>15</v>
      </c>
    </row>
    <row r="8" spans="1:2" x14ac:dyDescent="0.25">
      <c r="A8" s="8" t="s">
        <v>89</v>
      </c>
      <c r="B8">
        <v>8</v>
      </c>
    </row>
    <row r="9" spans="1:2" x14ac:dyDescent="0.25">
      <c r="A9" s="8" t="s">
        <v>56</v>
      </c>
      <c r="B9">
        <v>12</v>
      </c>
    </row>
    <row r="10" spans="1:2" x14ac:dyDescent="0.25">
      <c r="A10" s="8" t="s">
        <v>67</v>
      </c>
      <c r="B10">
        <v>25</v>
      </c>
    </row>
    <row r="11" spans="1:2" x14ac:dyDescent="0.25">
      <c r="A11" s="8" t="s">
        <v>356</v>
      </c>
      <c r="B11">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B532-1F83-41CF-8785-67AD21A6C102}">
  <dimension ref="A3:E9"/>
  <sheetViews>
    <sheetView workbookViewId="0">
      <selection activeCell="J11" sqref="J11"/>
    </sheetView>
  </sheetViews>
  <sheetFormatPr defaultRowHeight="15" x14ac:dyDescent="0.25"/>
  <cols>
    <col min="1" max="1" width="22.7109375" bestFit="1" customWidth="1"/>
    <col min="2" max="2" width="17.28515625" bestFit="1" customWidth="1"/>
    <col min="4" max="4" width="22.85546875" bestFit="1" customWidth="1"/>
    <col min="5" max="5" width="17.28515625" bestFit="1" customWidth="1"/>
  </cols>
  <sheetData>
    <row r="3" spans="1:5" x14ac:dyDescent="0.25">
      <c r="A3" s="7" t="s">
        <v>355</v>
      </c>
      <c r="B3" t="s">
        <v>358</v>
      </c>
      <c r="D3" s="7" t="s">
        <v>355</v>
      </c>
      <c r="E3" t="s">
        <v>358</v>
      </c>
    </row>
    <row r="4" spans="1:5" x14ac:dyDescent="0.25">
      <c r="A4" s="8" t="s">
        <v>249</v>
      </c>
      <c r="B4">
        <v>3</v>
      </c>
      <c r="D4" s="8" t="s">
        <v>204</v>
      </c>
      <c r="E4">
        <v>2</v>
      </c>
    </row>
    <row r="5" spans="1:5" x14ac:dyDescent="0.25">
      <c r="A5" s="8" t="s">
        <v>145</v>
      </c>
      <c r="B5">
        <v>4</v>
      </c>
      <c r="D5" s="8" t="s">
        <v>40</v>
      </c>
      <c r="E5">
        <v>4</v>
      </c>
    </row>
    <row r="6" spans="1:5" x14ac:dyDescent="0.25">
      <c r="A6" s="8" t="s">
        <v>322</v>
      </c>
      <c r="B6">
        <v>2</v>
      </c>
      <c r="D6" s="8" t="s">
        <v>280</v>
      </c>
      <c r="E6">
        <v>3</v>
      </c>
    </row>
    <row r="7" spans="1:5" x14ac:dyDescent="0.25">
      <c r="A7" s="8" t="s">
        <v>57</v>
      </c>
      <c r="B7">
        <v>3</v>
      </c>
      <c r="D7" s="8" t="s">
        <v>131</v>
      </c>
      <c r="E7">
        <v>3</v>
      </c>
    </row>
    <row r="8" spans="1:5" x14ac:dyDescent="0.25">
      <c r="A8" s="8" t="s">
        <v>356</v>
      </c>
      <c r="B8">
        <v>12</v>
      </c>
      <c r="D8" s="8" t="s">
        <v>194</v>
      </c>
      <c r="E8">
        <v>3</v>
      </c>
    </row>
    <row r="9" spans="1:5" x14ac:dyDescent="0.25">
      <c r="D9" s="8" t="s">
        <v>356</v>
      </c>
      <c r="E9">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791C-3DEC-4A2C-968C-A25F6BF190A3}">
  <dimension ref="A3:B7"/>
  <sheetViews>
    <sheetView workbookViewId="0">
      <selection activeCell="J18" sqref="J18"/>
    </sheetView>
  </sheetViews>
  <sheetFormatPr defaultRowHeight="15" x14ac:dyDescent="0.25"/>
  <cols>
    <col min="1" max="1" width="13.140625" bestFit="1" customWidth="1"/>
    <col min="2" max="2" width="20.42578125" bestFit="1" customWidth="1"/>
  </cols>
  <sheetData>
    <row r="3" spans="1:2" x14ac:dyDescent="0.25">
      <c r="A3" s="7" t="s">
        <v>355</v>
      </c>
      <c r="B3" t="s">
        <v>357</v>
      </c>
    </row>
    <row r="4" spans="1:2" x14ac:dyDescent="0.25">
      <c r="A4" s="8" t="s">
        <v>366</v>
      </c>
      <c r="B4">
        <v>196730</v>
      </c>
    </row>
    <row r="5" spans="1:2" x14ac:dyDescent="0.25">
      <c r="A5" s="8" t="s">
        <v>367</v>
      </c>
      <c r="B5">
        <v>166000</v>
      </c>
    </row>
    <row r="6" spans="1:2" x14ac:dyDescent="0.25">
      <c r="A6" s="8" t="s">
        <v>368</v>
      </c>
      <c r="B6">
        <v>246990</v>
      </c>
    </row>
    <row r="7" spans="1:2" x14ac:dyDescent="0.25">
      <c r="A7" s="8" t="s">
        <v>356</v>
      </c>
      <c r="B7">
        <v>609720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topLeftCell="A2" workbookViewId="0">
      <selection activeCell="E11" sqref="E11"/>
    </sheetView>
  </sheetViews>
  <sheetFormatPr defaultRowHeight="15" x14ac:dyDescent="0.25"/>
  <cols>
    <col min="1" max="1" width="44.42578125" customWidth="1"/>
    <col min="2" max="2" width="38.140625" customWidth="1"/>
  </cols>
  <sheetData>
    <row r="1" spans="1:2" ht="33.75" x14ac:dyDescent="0.25">
      <c r="A1" s="5" t="s">
        <v>345</v>
      </c>
      <c r="B1" s="5" t="s">
        <v>346</v>
      </c>
    </row>
    <row r="2" spans="1:2" ht="28.5" x14ac:dyDescent="0.45">
      <c r="A2" s="6" t="s">
        <v>347</v>
      </c>
      <c r="B2" s="6">
        <f>COUNTA(Cleaned_Data!A2:A201)</f>
        <v>200</v>
      </c>
    </row>
    <row r="3" spans="1:2" ht="28.5" x14ac:dyDescent="0.45">
      <c r="A3" s="6" t="s">
        <v>348</v>
      </c>
      <c r="B3" s="6">
        <f>SUM(Cleaned_Data!K2:K201)</f>
        <v>609720</v>
      </c>
    </row>
    <row r="4" spans="1:2" ht="28.5" x14ac:dyDescent="0.45">
      <c r="A4" s="6" t="s">
        <v>349</v>
      </c>
      <c r="B4" s="6">
        <f>COUNTIF(Cleaned_Data!N2:N201,"Delivered")</f>
        <v>115</v>
      </c>
    </row>
    <row r="5" spans="1:2" ht="28.5" x14ac:dyDescent="0.45">
      <c r="A5" s="6" t="s">
        <v>350</v>
      </c>
      <c r="B5" s="6">
        <f>COUNTIF(Cleaned_Data!N2:N201,"Cancelled")</f>
        <v>15</v>
      </c>
    </row>
    <row r="6" spans="1:2" ht="28.5" x14ac:dyDescent="0.45">
      <c r="A6" s="6" t="s">
        <v>351</v>
      </c>
      <c r="B6" s="6">
        <f>COUNTIF(Cleaned_Data!N2:N201,"Returned")</f>
        <v>12</v>
      </c>
    </row>
    <row r="7" spans="1:2" ht="28.5" x14ac:dyDescent="0.45">
      <c r="A7" s="6" t="s">
        <v>352</v>
      </c>
      <c r="B7" s="17">
        <f>AVERAGE(Cleaned_Data!T2:T201)</f>
        <v>0.703125</v>
      </c>
    </row>
    <row r="8" spans="1:2" ht="28.5" x14ac:dyDescent="0.45">
      <c r="A8" s="6" t="s">
        <v>369</v>
      </c>
      <c r="B8" s="16">
        <f>B5/B2</f>
        <v>7.4999999999999997E-2</v>
      </c>
    </row>
    <row r="9" spans="1:2" ht="28.5" x14ac:dyDescent="0.45">
      <c r="A9" s="6" t="s">
        <v>370</v>
      </c>
      <c r="B9" s="16">
        <f>B6/B2</f>
        <v>0.06</v>
      </c>
    </row>
    <row r="10" spans="1:2" ht="28.5" x14ac:dyDescent="0.45">
      <c r="A10" s="6" t="s">
        <v>372</v>
      </c>
      <c r="B10" s="16">
        <f>B4/B2</f>
        <v>0.57499999999999996</v>
      </c>
    </row>
    <row r="11" spans="1:2" ht="28.5" x14ac:dyDescent="0.45">
      <c r="A11" s="6" t="s">
        <v>371</v>
      </c>
      <c r="B11" s="16">
        <f>COUNTIF(Cleaned_Data!U2:U201,"On Time")/COUNT(Cleaned_Data!T2:T201)</f>
        <v>0.453125</v>
      </c>
    </row>
  </sheetData>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
  <sheetViews>
    <sheetView showGridLines="0" tabSelected="1" topLeftCell="A34" zoomScaleNormal="100" workbookViewId="0">
      <selection activeCell="U19" sqref="U19"/>
    </sheetView>
  </sheetViews>
  <sheetFormatPr defaultRowHeight="15" x14ac:dyDescent="0.25"/>
  <sheetData>
    <row r="1" spans="1:23" x14ac:dyDescent="0.25">
      <c r="A1" s="18" t="s">
        <v>365</v>
      </c>
      <c r="B1" s="19"/>
      <c r="C1" s="19"/>
      <c r="D1" s="19"/>
      <c r="E1" s="19"/>
      <c r="F1" s="19"/>
      <c r="G1" s="19"/>
      <c r="H1" s="19"/>
      <c r="I1" s="19"/>
      <c r="J1" s="19"/>
      <c r="K1" s="19"/>
      <c r="L1" s="19"/>
      <c r="M1" s="19"/>
      <c r="N1" s="19"/>
      <c r="O1" s="19"/>
      <c r="P1" s="19"/>
      <c r="Q1" s="19"/>
      <c r="R1" s="19"/>
      <c r="S1" s="19"/>
      <c r="T1" s="19"/>
      <c r="U1" s="19"/>
      <c r="V1" s="19"/>
      <c r="W1" s="19"/>
    </row>
    <row r="2" spans="1:23" x14ac:dyDescent="0.25">
      <c r="A2" s="19"/>
      <c r="B2" s="19"/>
      <c r="C2" s="19"/>
      <c r="D2" s="19"/>
      <c r="E2" s="19"/>
      <c r="F2" s="19"/>
      <c r="G2" s="19"/>
      <c r="H2" s="19"/>
      <c r="I2" s="19"/>
      <c r="J2" s="19"/>
      <c r="K2" s="19"/>
      <c r="L2" s="19"/>
      <c r="M2" s="19"/>
      <c r="N2" s="19"/>
      <c r="O2" s="19"/>
      <c r="P2" s="19"/>
      <c r="Q2" s="19"/>
      <c r="R2" s="19"/>
      <c r="S2" s="19"/>
      <c r="T2" s="19"/>
      <c r="U2" s="19"/>
      <c r="V2" s="19"/>
      <c r="W2" s="19"/>
    </row>
  </sheetData>
  <mergeCells count="1">
    <mergeCell ref="A1:W2"/>
  </mergeCells>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Cleaned_Data</vt:lpstr>
      <vt:lpstr>pivot category_sales</vt:lpstr>
      <vt:lpstr>Pivot City_wise_order</vt:lpstr>
      <vt:lpstr>Pivot payment_analysis</vt:lpstr>
      <vt:lpstr>Pivot Delivery_Analysis</vt:lpstr>
      <vt:lpstr>Pivot_Order_Status</vt:lpstr>
      <vt:lpstr>Pivot_Reasons</vt:lpstr>
      <vt:lpstr>pivot monthly revenue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sakilahamed5625@gmail.com</cp:lastModifiedBy>
  <dcterms:created xsi:type="dcterms:W3CDTF">2026-10-04T03:39:10Z</dcterms:created>
  <dcterms:modified xsi:type="dcterms:W3CDTF">2026-10-07T16:14:36Z</dcterms:modified>
</cp:coreProperties>
</file>